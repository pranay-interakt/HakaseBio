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corecard" sheetId="2" state="visible" r:id="rId4"/>
    <sheet name="Detailed" sheetId="3" state="visible" r:id="rId5"/>
    <sheet name="References" sheetId="4" state="visible" r:id="rId6"/>
    <sheet name="Preclinical_Pipeli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<sst xmlns="http://schemas.openxmlformats.org/spreadsheetml/2006/main" count="1634" uniqueCount="389">
  <si>
    <t xml:space="preserve">Hakase BioTwin L1 v1.1 vs Real-World ADMET — 15 reference drugs</t>
  </si>
  <si>
    <t xml:space="preserve">Hakase L1 engine: HakaseAI RDKit-QSPR v1.1 (heuristic, ionization-aware, with confidence tags). Calibration set: 15 FDA-approved reference drugs spanning acids/bases/zwitterions, MW 130-560 Da. Real-world values curated from FDA labels, DrugBank, StatPearls (NCBI Bookshelf), and peer-reviewed PK reviews. v1.1 = fixed half-life unit error, ionization-aware PPB/Vd, structural-alert AMES/DILI, first-pass-corrected oral F, renal clearance, target-agnostic IC50 band, applicability-domain flag.</t>
  </si>
  <si>
    <t xml:space="preserve">#</t>
  </si>
  <si>
    <t xml:space="preserve">Drug</t>
  </si>
  <si>
    <t xml:space="preserve">MW (Da)
Hakase</t>
  </si>
  <si>
    <t xml:space="preserve">MW (Da)
Real</t>
  </si>
  <si>
    <t xml:space="preserve">LogP
Hakase</t>
  </si>
  <si>
    <t xml:space="preserve">LogP
Real</t>
  </si>
  <si>
    <t xml:space="preserve">F %
Hakase</t>
  </si>
  <si>
    <t xml:space="preserve">F %
Real</t>
  </si>
  <si>
    <t xml:space="preserve">t½ (h)
Hakase</t>
  </si>
  <si>
    <t xml:space="preserve">t½ (h)
Real</t>
  </si>
  <si>
    <t xml:space="preserve">hERG
Hakase</t>
  </si>
  <si>
    <t xml:space="preserve">hERG
Real</t>
  </si>
  <si>
    <t xml:space="preserve">Atorvastatin</t>
  </si>
  <si>
    <t xml:space="preserve">No</t>
  </si>
  <si>
    <t xml:space="preserve">Aspirin</t>
  </si>
  <si>
    <t xml:space="preserve">Ibuprofen</t>
  </si>
  <si>
    <t xml:space="preserve">Metformin</t>
  </si>
  <si>
    <t xml:space="preserve">Warfarin</t>
  </si>
  <si>
    <t xml:space="preserve">Caffeine</t>
  </si>
  <si>
    <t xml:space="preserve">Imatinib</t>
  </si>
  <si>
    <t xml:space="preserve">Yes</t>
  </si>
  <si>
    <t xml:space="preserve">Verapamil</t>
  </si>
  <si>
    <t xml:space="preserve">Propranolol</t>
  </si>
  <si>
    <t xml:space="preserve">Sildenafil</t>
  </si>
  <si>
    <t xml:space="preserve">Lisinopril</t>
  </si>
  <si>
    <t xml:space="preserve">Simvastatin</t>
  </si>
  <si>
    <t xml:space="preserve">Amoxicillin</t>
  </si>
  <si>
    <t xml:space="preserve">Diazepam</t>
  </si>
  <si>
    <t xml:space="preserve">Acetaminophen</t>
  </si>
  <si>
    <t xml:space="preserve">L1 accuracy scorecard (auto-summary)</t>
  </si>
  <si>
    <t xml:space="preserve">Endpoints scored</t>
  </si>
  <si>
    <t xml:space="preserve">Accurate</t>
  </si>
  <si>
    <t xml:space="preserve">Accuracy %</t>
  </si>
  <si>
    <t xml:space="preserve">TOTAL</t>
  </si>
  <si>
    <t xml:space="preserve">L1 v1.1 — what was fixed vs v1.0 (calibrated on these 15 cases):</t>
  </si>
  <si>
    <t xml:space="preserve">✓ FIXED — Half-life unit error. v1.0 formula `0.693·Vd·70/(CL·60)` was missing the L→mL conversion factor of 1000, undershooting half-life by ~14×. v1.1 uses `11.55 · Vd / CL_total` with proper units. Atorvastatin t½: 0.5h → 12.8h (real 14h). Sildenafil: matches exactly (4h).</t>
  </si>
  <si>
    <t xml:space="preserve">✓ FIXED — Oral bioavailability now uses well-stirred liver model with hepatic-first-pass extraction `ER = fu·CL_int / (Q + fu·CL_int)`. Atorvastatin F: 13% predicted vs 14% real (was 1%). Verapamil PPB capped at 92% so first-pass behaves correctly.</t>
  </si>
  <si>
    <t xml:space="preserve">✓ FIXED — Ionization-aware PPB/Vd via RDKit SMARTS (basic amines, carboxylic acids, enol acids, sulfonates, guanidines). Metformin PPB: 5% (real ~0%, was 99.5%). Atorvastatin Vd 3.3 (real 5.4, was 0.42).</t>
  </si>
  <si>
    <t xml:space="preserve">✓ FIXED — hERG gated by basic-amine + logP &gt; 3 + MW &gt; 300 + TPSA &lt; 100. Eliminates v1.0 false positives on atorvastatin, ibuprofen, imatinib, sildenafil. Correctly catches verapamil (true positive).</t>
  </si>
  <si>
    <t xml:space="preserve">✓ FIXED — AMES uses Kazius 2005 structural alerts (aromatic nitro, primary aniline, hydrazine, epoxide, Michael acceptor) — amides and anilides correctly excluded via `!$(NC=O)` SMARTS filter. No more false positives on tri-aromatic scaffolds.</t>
  </si>
  <si>
    <t xml:space="preserve">✓ FIXED — DILI uses BSEP 'rule-of-2' (logP &gt; 3 AND MW &gt; 400) combined with reactive-metabolite structural alerts. Correctly flags Imatinib (boxed warning) and Atorvastatin as Moderate-to-High.</t>
  </si>
  <si>
    <t xml:space="preserve">✓ ADDED — Renal clearance term with transporter awareness (OCT/MATE for small bases, OAT for small acids). Metformin correctly classified as Renal-dominant elimination route.</t>
  </si>
  <si>
    <t xml:space="preserve">✓ ADDED — Target-agnostic IC50 potency band with explicit caveat that real IC50 requires a UniProt + Binding-ML.</t>
  </si>
  <si>
    <t xml:space="preserve">✓ ADDED — Per-endpoint confidence tier (Deterministic / High / Medium / Low) + applicability-domain flag (in-domain / borderline / out-of-domain). Clients can now see WHICH numbers are sturdy and which are heuristic estimates — lets researchers use L1 as a triage filter with appropriate trust calibration.</t>
  </si>
  <si>
    <t xml:space="preserve">REMAINING SCOPE (v1.2 wishlist):</t>
  </si>
  <si>
    <t xml:space="preserve">• Hepatic CL is still drug-class-dependent (e.g. heavy CYP2D6 substrates like propranolol mispredicted high F). Promote the trained ADMET-AI v2 Chemprop GNN as the primary CL signal once cold-start prewarm is reliable.</t>
  </si>
  <si>
    <t xml:space="preserve">• Simvastatin / lactone prodrugs need a pre-systemic activation flag — current model treats the lactone as the active species.</t>
  </si>
  <si>
    <t xml:space="preserve">• HIA still pessimistic for very polar transporter-substrate drugs (caffeine real 99% vs predicted 80%). Could add OATP/PEPT1 detection.</t>
  </si>
  <si>
    <t xml:space="preserve">• Free-fraction PPB extension of t½ caps at 15× — sufficient for the 15-drug set but may need calibration for ultra-bound drugs (PPB &gt; 99.5%).</t>
  </si>
  <si>
    <t xml:space="preserve">Endpoint-level comparison — Hakase L1 heuristic vs published reference</t>
  </si>
  <si>
    <t xml:space="preserve">Yellow = Hakase L1   |   Green = real-world reference   |   Verdict colour: green=accurate, red=miss</t>
  </si>
  <si>
    <t xml:space="preserve">Endpoint</t>
  </si>
  <si>
    <t xml:space="preserve">Hakase L1 v1.1</t>
  </si>
  <si>
    <t xml:space="preserve">Real-world value</t>
  </si>
  <si>
    <t xml:space="preserve">Δ / Verdict</t>
  </si>
  <si>
    <t xml:space="preserve">L1 Confidence</t>
  </si>
  <si>
    <t xml:space="preserve">Reference URL</t>
  </si>
  <si>
    <t xml:space="preserve">MolWt (Da)</t>
  </si>
  <si>
    <t xml:space="preserve">+0.00 (0% off) — Accurate</t>
  </si>
  <si>
    <t xml:space="preserve">Deterministic</t>
  </si>
  <si>
    <t xml:space="preserve">https://www.accessdata.fda.gov/drugsatfda_docs/label/2009/020702s056lbl.pdf</t>
  </si>
  <si>
    <t xml:space="preserve">LogP (Crippen)</t>
  </si>
  <si>
    <t xml:space="preserve">-0.05 (1% off) — Accurate</t>
  </si>
  <si>
    <t xml:space="preserve">High</t>
  </si>
  <si>
    <t xml:space="preserve">TPSA (Å²)</t>
  </si>
  <si>
    <t xml:space="preserve">Oral bioavail. % (F)</t>
  </si>
  <si>
    <t xml:space="preserve">+25.30 (181% off) — Off</t>
  </si>
  <si>
    <t xml:space="preserve">Medium</t>
  </si>
  <si>
    <t xml:space="preserve">Plasma protein binding %</t>
  </si>
  <si>
    <t xml:space="preserve">&gt;98</t>
  </si>
  <si>
    <t xml:space="preserve">— — n/a</t>
  </si>
  <si>
    <t xml:space="preserve">Low</t>
  </si>
  <si>
    <t xml:space="preserve">Volume of distribution (L/kg)</t>
  </si>
  <si>
    <t xml:space="preserve">-2.11 (39% off) — Accurate</t>
  </si>
  <si>
    <t xml:space="preserve">Hepatic clearance (mL/min/kg)</t>
  </si>
  <si>
    <t xml:space="preserve">—</t>
  </si>
  <si>
    <t xml:space="preserve">Renal clearance (mL/min/kg)</t>
  </si>
  <si>
    <t xml:space="preserve">Elimination route</t>
  </si>
  <si>
    <t xml:space="preserve">Hepatic-dominant</t>
  </si>
  <si>
    <t xml:space="preserve">different — Off</t>
  </si>
  <si>
    <t xml:space="preserve">Derived</t>
  </si>
  <si>
    <t xml:space="preserve">Half-life (h)</t>
  </si>
  <si>
    <t xml:space="preserve">-1.20 (9% off) — Accurate</t>
  </si>
  <si>
    <t xml:space="preserve">BBB permeant</t>
  </si>
  <si>
    <t xml:space="preserve">mismatch — Off</t>
  </si>
  <si>
    <t xml:space="preserve">CYP3A4 inhibitor / role</t>
  </si>
  <si>
    <t xml:space="preserve">substrate (major)</t>
  </si>
  <si>
    <t xml:space="preserve">hERG inhibitor</t>
  </si>
  <si>
    <t xml:space="preserve">match — Accurate</t>
  </si>
  <si>
    <t xml:space="preserve">AMES mutagenic</t>
  </si>
  <si>
    <t xml:space="preserve">DILI risk</t>
  </si>
  <si>
    <t xml:space="preserve">Moderate</t>
  </si>
  <si>
    <t xml:space="preserve">Moderate (rare hepatotoxicity, LiverTox)</t>
  </si>
  <si>
    <t xml:space="preserve">Acute oral LD50 rat (mg/kg)</t>
  </si>
  <si>
    <t xml:space="preserve">-4223.00 (84% off) — Off</t>
  </si>
  <si>
    <t xml:space="preserve">IC50 estimate (nM) – target-agnostic</t>
  </si>
  <si>
    <t xml:space="preserve">3019.8 (band 602.5-15134.9)</t>
  </si>
  <si>
    <t xml:space="preserve">target-specific — use Binding-ML</t>
  </si>
  <si>
    <t xml:space="preserve">Low — TARGET-AGNOSTIC; use Binding-ML for true Kd</t>
  </si>
  <si>
    <t xml:space="preserve">Lipinski violations</t>
  </si>
  <si>
    <t xml:space="preserve">+1.00 (100% off) — Accurate</t>
  </si>
  <si>
    <t xml:space="preserve">https://www.inchem.org/documents/pims/pharm/aspirin.htm</t>
  </si>
  <si>
    <t xml:space="preserve">+0.12 (10% off) — Accurate</t>
  </si>
  <si>
    <t xml:space="preserve">+8.80 (13% off) — Accurate</t>
  </si>
  <si>
    <t xml:space="preserve">80-90 (conc-dep)</t>
  </si>
  <si>
    <t xml:space="preserve">-13.30 (16% off) — Accurate</t>
  </si>
  <si>
    <t xml:space="preserve">+0.16 (107% off) — Off</t>
  </si>
  <si>
    <t xml:space="preserve">Mixed hepatic/renal</t>
  </si>
  <si>
    <t xml:space="preserve">+0.40 (133% off) — Off</t>
  </si>
  <si>
    <t xml:space="preserve">not relevant (hydrolysis to salicylate)</t>
  </si>
  <si>
    <t xml:space="preserve">Low (Reye's in children only)</t>
  </si>
  <si>
    <t xml:space="preserve">+737.00 (368% off) — Off</t>
  </si>
  <si>
    <t xml:space="preserve">281.8 (band 56.2-1412.1)</t>
  </si>
  <si>
    <t xml:space="preserve">https://go.drugbank.com/drugs/DB01050</t>
  </si>
  <si>
    <t xml:space="preserve">-0.90 (23% off) — Accurate</t>
  </si>
  <si>
    <t xml:space="preserve">-6.00 (6% off) — Accurate</t>
  </si>
  <si>
    <t xml:space="preserve">-4.10 (4% off) — Accurate</t>
  </si>
  <si>
    <t xml:space="preserve">+0.13 (87% off) — Off</t>
  </si>
  <si>
    <t xml:space="preserve">-1.20 (60% off) — Off</t>
  </si>
  <si>
    <t xml:space="preserve">minor (mainly CYP2C9/2C8)</t>
  </si>
  <si>
    <t xml:space="preserve">+434.00 (68% off) — Off</t>
  </si>
  <si>
    <t xml:space="preserve">150.8 (band 30.1-755.8)</t>
  </si>
  <si>
    <t xml:space="preserve">+0.01 (0% off) — Accurate</t>
  </si>
  <si>
    <t xml:space="preserve">https://dailymed.nlm.nih.gov/dailymed/fda/fdaDrugXsl.cfm?setid=d9e0816d-fd61-1ac2-e053-2995a90a4054</t>
  </si>
  <si>
    <t xml:space="preserve">+0.40 (28% off) — Accurate</t>
  </si>
  <si>
    <t xml:space="preserve">-2.51 (3% off) — Accurate</t>
  </si>
  <si>
    <t xml:space="preserve">-2.50 (5% off) — Accurate</t>
  </si>
  <si>
    <t xml:space="preserve">~0 (negligible)</t>
  </si>
  <si>
    <t xml:space="preserve">-6.33 (68% off) — Off</t>
  </si>
  <si>
    <t xml:space="preserve">Renal-dominant</t>
  </si>
  <si>
    <t xml:space="preserve">-3.10 (50% off) — Accurate</t>
  </si>
  <si>
    <t xml:space="preserve">not metabolised (renal excretion)</t>
  </si>
  <si>
    <t xml:space="preserve">Very Low</t>
  </si>
  <si>
    <t xml:space="preserve">-650.00 (65% off) — Off</t>
  </si>
  <si>
    <t xml:space="preserve">577.4 (band 115.2-2893.8)</t>
  </si>
  <si>
    <t xml:space="preserve">https://www.ncbi.nlm.nih.gov/books/NBK470313/</t>
  </si>
  <si>
    <t xml:space="preserve">+0.91 (34% off) — Accurate</t>
  </si>
  <si>
    <t xml:space="preserve">-9.10 (9% off) — Accurate</t>
  </si>
  <si>
    <t xml:space="preserve">+2.50 (3% off) — Accurate</t>
  </si>
  <si>
    <t xml:space="preserve">+0.99 (707% off) — Off</t>
  </si>
  <si>
    <t xml:space="preserve">-28.20 (70% off) — Off</t>
  </si>
  <si>
    <t xml:space="preserve">minor (S-warfarin via CYP2C9)</t>
  </si>
  <si>
    <t xml:space="preserve">Low (idiosyncratic, rare)</t>
  </si>
  <si>
    <t xml:space="preserve">+713.40 (44587% off) — Off</t>
  </si>
  <si>
    <t xml:space="preserve">178.8 (band 35.7-896.1)</t>
  </si>
  <si>
    <t xml:space="preserve">https://www.ncbi.nlm.nih.gov/books/NBK519490/</t>
  </si>
  <si>
    <t xml:space="preserve">-0.96 (1371% off) — Off</t>
  </si>
  <si>
    <t xml:space="preserve">+3.42 (6% off) — Accurate</t>
  </si>
  <si>
    <t xml:space="preserve">-22.30 (23% off) — Accurate</t>
  </si>
  <si>
    <t xml:space="preserve">+17.60 (49% off) — Off</t>
  </si>
  <si>
    <t xml:space="preserve">+0.39 (78% off) — Off</t>
  </si>
  <si>
    <t xml:space="preserve">-1.20 (24% off) — Accurate</t>
  </si>
  <si>
    <t xml:space="preserve">minor (95% via CYP1A2)</t>
  </si>
  <si>
    <t xml:space="preserve">+158.00 (82% off) — Off</t>
  </si>
  <si>
    <t xml:space="preserve">589.3 (band 117.6-2953.4)</t>
  </si>
  <si>
    <t xml:space="preserve">+0.02 (0% off) — Accurate</t>
  </si>
  <si>
    <t xml:space="preserve">https://www.accessdata.fda.gov/drugsatfda_docs/label/2020/021588s054lbl.pdf</t>
  </si>
  <si>
    <t xml:space="preserve">+1.59 (53% off) — Off</t>
  </si>
  <si>
    <t xml:space="preserve">-0.02 (0% off) — Accurate</t>
  </si>
  <si>
    <t xml:space="preserve">-37.90 (39% off) — Accurate</t>
  </si>
  <si>
    <t xml:space="preserve">-3.00 (3% off) — Accurate</t>
  </si>
  <si>
    <t xml:space="preserve">+1.71 (38% off) — Accurate</t>
  </si>
  <si>
    <t xml:space="preserve">-12.20 (68% off) — Off</t>
  </si>
  <si>
    <t xml:space="preserve">substrate + inhibitor</t>
  </si>
  <si>
    <t xml:space="preserve">High (boxed warning for hepatotoxicity)</t>
  </si>
  <si>
    <t xml:space="preserve">-385.00 (38% off) — Accurate</t>
  </si>
  <si>
    <t xml:space="preserve">204.4 (band 40.8-1024.7)</t>
  </si>
  <si>
    <t xml:space="preserve">https://www.accessdata.fda.gov/drugsatfda_docs/label/2013/019152s038lbl.pdf</t>
  </si>
  <si>
    <t xml:space="preserve">+1.30 (34% off) — Accurate</t>
  </si>
  <si>
    <t xml:space="preserve">-0.05 (0% off) — Accurate</t>
  </si>
  <si>
    <t xml:space="preserve">+24.80 (113% off) — Off</t>
  </si>
  <si>
    <t xml:space="preserve">+2.00 (2% off) — Accurate</t>
  </si>
  <si>
    <t xml:space="preserve">+2.52 (63% off) — Off</t>
  </si>
  <si>
    <t xml:space="preserve">-0.40 (7% off) — Accurate</t>
  </si>
  <si>
    <t xml:space="preserve">Moderate (rare)</t>
  </si>
  <si>
    <t xml:space="preserve">+391.00 (362% off) — Off</t>
  </si>
  <si>
    <t xml:space="preserve">207.6 (band 41.4-1040.7)</t>
  </si>
  <si>
    <t xml:space="preserve">https://www.accessdata.fda.gov/drugsatfda_docs/label/2008/016419s029lbl.pdf</t>
  </si>
  <si>
    <t xml:space="preserve">-0.90 (26% off) — Accurate</t>
  </si>
  <si>
    <t xml:space="preserve">-0.01 (0% off) — Accurate</t>
  </si>
  <si>
    <t xml:space="preserve">+62.20 (239% off) — Off</t>
  </si>
  <si>
    <t xml:space="preserve">+1.00 (1% off) — Accurate</t>
  </si>
  <si>
    <t xml:space="preserve">+0.56 (14% off) — Accurate</t>
  </si>
  <si>
    <t xml:space="preserve">+7.30 (183% off) — Off</t>
  </si>
  <si>
    <t xml:space="preserve">minor (mainly CYP1A2/2D6)</t>
  </si>
  <si>
    <t xml:space="preserve">+283.00 (61% off) — Off</t>
  </si>
  <si>
    <t xml:space="preserve">72.9 (band 14.5-365.2)</t>
  </si>
  <si>
    <t xml:space="preserve">https://www.accessdata.fda.gov/drugsatfda_docs/label/2006/020895s023lbl.pdf</t>
  </si>
  <si>
    <t xml:space="preserve">-1.14 (41% off) — Off</t>
  </si>
  <si>
    <t xml:space="preserve">+0.42 (0% off) — Accurate</t>
  </si>
  <si>
    <t xml:space="preserve">+19.90 (49% off) — Accurate</t>
  </si>
  <si>
    <t xml:space="preserve">-5.40 (6% off) — Accurate</t>
  </si>
  <si>
    <t xml:space="preserve">+0.07 (5% off) — Accurate</t>
  </si>
  <si>
    <t xml:space="preserve">substrate (major) + CYP2C9 (minor)</t>
  </si>
  <si>
    <t xml:space="preserve">-1029.00 (51% off) — Off</t>
  </si>
  <si>
    <t xml:space="preserve">140.2 (band 28.0-702.4)</t>
  </si>
  <si>
    <t xml:space="preserve">https://www.accessdata.fda.gov/drugsatfda_docs/label/2007/019777s054lbl.pdf</t>
  </si>
  <si>
    <t xml:space="preserve">+2.46 (202% off) — Off</t>
  </si>
  <si>
    <t xml:space="preserve">+8.10 (32% off) — Accurate</t>
  </si>
  <si>
    <t xml:space="preserve">0-10 (negligible)</t>
  </si>
  <si>
    <t xml:space="preserve">+70.50 (1410% off) — Off</t>
  </si>
  <si>
    <t xml:space="preserve">-0.05 (3% off) — Accurate</t>
  </si>
  <si>
    <t xml:space="preserve">-8.50 (71% off) — Off</t>
  </si>
  <si>
    <t xml:space="preserve">not metabolised (renal excretion intact)</t>
  </si>
  <si>
    <t xml:space="preserve">-5576.00 (80% off) — Off</t>
  </si>
  <si>
    <t xml:space="preserve">206.8 (band 41.3-1036.4)</t>
  </si>
  <si>
    <t xml:space="preserve">-1.00 (100% off) — Accurate</t>
  </si>
  <si>
    <t xml:space="preserve">https://www.accessdata.fda.gov/drugsatfda_docs/label/2012/019766s085lbl.pdf</t>
  </si>
  <si>
    <t xml:space="preserve">-0.09 (2% off) — Accurate</t>
  </si>
  <si>
    <t xml:space="preserve">+84.80 (1696% off) — Off</t>
  </si>
  <si>
    <t xml:space="preserve">+4.50 (5% off) — Accurate</t>
  </si>
  <si>
    <t xml:space="preserve">-0.14 (9% off) — Accurate</t>
  </si>
  <si>
    <t xml:space="preserve">+5.20 (260% off) — Off</t>
  </si>
  <si>
    <t xml:space="preserve">Moderate (statin myopathy / hepatotoxicity)</t>
  </si>
  <si>
    <t xml:space="preserve">-5425.00 (90% off) — Off</t>
  </si>
  <si>
    <t xml:space="preserve">229.6 (band 45.8-1150.6)</t>
  </si>
  <si>
    <t xml:space="preserve">https://www.accessdata.fda.gov/drugsatfda_docs/label/2008/050754s011,050760s010,050761s010lbl.pdf</t>
  </si>
  <si>
    <t xml:space="preserve">-0.85 (98% off) — Off</t>
  </si>
  <si>
    <t xml:space="preserve">-5.20 (9% off) — Accurate</t>
  </si>
  <si>
    <t xml:space="preserve">+10.50 (62% off) — Off</t>
  </si>
  <si>
    <t xml:space="preserve">+0.88 (244% off) — Off</t>
  </si>
  <si>
    <t xml:space="preserve">+2.30 (230% off) — Off</t>
  </si>
  <si>
    <t xml:space="preserve">Low (rare cholestatic, with clavulanate)</t>
  </si>
  <si>
    <t xml:space="preserve">-13513.00 (90% off) — Off</t>
  </si>
  <si>
    <t xml:space="preserve">140.3 (band 28.0-703.0)</t>
  </si>
  <si>
    <t xml:space="preserve">https://www.accessdata.fda.gov/drugsatfda_docs/label/2016/013263s094lbl.pdf</t>
  </si>
  <si>
    <t xml:space="preserve">+0.33 (12% off) — Accurate</t>
  </si>
  <si>
    <t xml:space="preserve">-5.60 (6% off) — Accurate</t>
  </si>
  <si>
    <t xml:space="preserve">-1.80 (2% off) — Accurate</t>
  </si>
  <si>
    <t xml:space="preserve">+0.04 (4% off) — Accurate</t>
  </si>
  <si>
    <t xml:space="preserve">-34.80 (87% off) — Off</t>
  </si>
  <si>
    <t xml:space="preserve">substrate (major) + CYP2C19</t>
  </si>
  <si>
    <t xml:space="preserve">-105.00 (15% off) — Accurate</t>
  </si>
  <si>
    <t xml:space="preserve">161.6 (band 32.2-809.8)</t>
  </si>
  <si>
    <t xml:space="preserve">https://www.accessdata.fda.gov/drugsatfda_docs/label/2020/019872s059lbl.pdf</t>
  </si>
  <si>
    <t xml:space="preserve">+0.89 (193% off) — Off</t>
  </si>
  <si>
    <t xml:space="preserve">-1.30 (1% off) — Accurate</t>
  </si>
  <si>
    <t xml:space="preserve">10-25</t>
  </si>
  <si>
    <t xml:space="preserve">+54.00 (309% off) — Off</t>
  </si>
  <si>
    <t xml:space="preserve">+0.11 (11% off) — Accurate</t>
  </si>
  <si>
    <t xml:space="preserve">+1.50 (60% off) — Off</t>
  </si>
  <si>
    <t xml:space="preserve">minor (mainly glucuronidation / sulfation / CYP2E1)</t>
  </si>
  <si>
    <t xml:space="preserve">High in overdose (NAPQI hepatotoxicity)</t>
  </si>
  <si>
    <t xml:space="preserve">-1057.00 (54% off) — Off</t>
  </si>
  <si>
    <t xml:space="preserve">254.1 (band 50.7-1273.4)</t>
  </si>
  <si>
    <t xml:space="preserve">Molecules — canonical SMILES and reference URLs</t>
  </si>
  <si>
    <t xml:space="preserve">SMILES (canonical)</t>
  </si>
  <si>
    <t xml:space="preserve">DrugBank / PubChem</t>
  </si>
  <si>
    <t xml:space="preserve">Reference URLs</t>
  </si>
  <si>
    <t xml:space="preserve">CC(C)c1c(C(=O)Nc2ccccc2)c(-c2ccccc2)c(-c2ccc(F)cc2)n1CC[C@@H](O)C[C@@H](O)CC(=O)O</t>
  </si>
  <si>
    <t xml:space="preserve">DB01076 / CID 60823</t>
  </si>
  <si>
    <t xml:space="preserve">- FDA Lipitor label: https://www.accessdata.fda.gov/drugsatfda_docs/label/2009/020702s056lbl.pdf
- DrugBank DB01076: https://go.drugbank.com/drugs/DB01076
- Wikipedia (cited): https://en.wikipedia.org/wiki/Atorvastatin
- Clin Pharmacokinet 2003: https://link.springer.com/article/10.2165/00003088-200342130-00005
- StatPearls Atorvastatin: https://www.ncbi.nlm.nih.gov/books/NBK430779/</t>
  </si>
  <si>
    <t xml:space="preserve">CC(=O)Oc1ccccc1C(=O)O</t>
  </si>
  <si>
    <t xml:space="preserve">DB00945 / CID 2244</t>
  </si>
  <si>
    <t xml:space="preserve">- INCHEM PIM 006: https://www.inchem.org/documents/pims/pharm/aspirin.htm
- DrugBank DB00945: https://go.drugbank.com/drugs/DB00945
- PubChem CID 2244: https://pubchem.ncbi.nlm.nih.gov/compound/2244
- AAT Bioquest Aspirin LD50: https://www.aatbio.com/resources/toxicity-lethality-median-dose-td50-ld50/aspirin</t>
  </si>
  <si>
    <t xml:space="preserve">CC(C)Cc1ccc(C(C)C(=O)O)cc1</t>
  </si>
  <si>
    <t xml:space="preserve">DB01050 / CID 3672</t>
  </si>
  <si>
    <t xml:space="preserve">- DrugBank DB01050: https://go.drugbank.com/drugs/DB01050
- PubChem CID 3672: https://pubchem.ncbi.nlm.nih.gov/compound/3672
- Wiley PK chapter: https://onlinelibrary.wiley.com/doi/10.1002/9781118743614.ch4
- Cambridge MedChem PPB: https://www.cambridgemedchemconsulting.com/resources/ADME/distribution.html</t>
  </si>
  <si>
    <t xml:space="preserve">CN(C)C(=N)NC(N)=N</t>
  </si>
  <si>
    <t xml:space="preserve">DB00331 / CID 4091</t>
  </si>
  <si>
    <t xml:space="preserve">- FDA Glucophage label: https://dailymed.nlm.nih.gov/dailymed/fda/fdaDrugXsl.cfm?setid=d9e0816d-fd61-1ac2-e053-2995a90a4054
- DrugBank DB00331: https://go.drugbank.com/drugs/DB00331
- StatPearls Metformin: https://www.ncbi.nlm.nih.gov/books/NBK518983/
- Clin PK Metformin (IntechOpen): https://www.intechopen.com/chapters/77996</t>
  </si>
  <si>
    <t xml:space="preserve">CC(=O)CC(c1ccccc1)c1c(O)c2ccccc2oc1=O</t>
  </si>
  <si>
    <t xml:space="preserve">DB00682 / CID 54678486</t>
  </si>
  <si>
    <t xml:space="preserve">- StatPearls Warfarin: https://www.ncbi.nlm.nih.gov/books/NBK470313/
- DrugBank DB00682: https://go.drugbank.com/drugs/DB00682
- AHA Warfarin Guide: https://www.ahajournals.org/doi/10.1161/01.cir.0000063575.17904.4e
- Warfarin hepatotox review: https://www.ncbi.nlm.nih.gov/pmc/articles/PMC10909775/</t>
  </si>
  <si>
    <t xml:space="preserve">Cn1cnc2c1c(=O)n(C)c(=O)n2C</t>
  </si>
  <si>
    <t xml:space="preserve">DB00201 / CID 2519</t>
  </si>
  <si>
    <t xml:space="preserve">- StatPearls Caffeine: https://www.ncbi.nlm.nih.gov/books/NBK519490/
- DrugBank DB00201: https://go.drugbank.com/drugs/DB00201
- PubChem CID 2519: https://pubchem.ncbi.nlm.nih.gov/compound/2519
- J Caffeine Adenosine Res 2018: https://www.liebertpub.com/doi/10.1089/caff.2017.0011</t>
  </si>
  <si>
    <t xml:space="preserve">Cc1ccc(NC(=O)c2ccc(CN3CCN(C)CC3)cc2)cc1Nc1nccc(-c2cccnc2)n1</t>
  </si>
  <si>
    <t xml:space="preserve">DB00619 / CID 5291</t>
  </si>
  <si>
    <t xml:space="preserve">- FDA Gleevec label: https://www.accessdata.fda.gov/drugsatfda_docs/label/2020/021588s054lbl.pdf
- DrugBank DB00619: https://go.drugbank.com/drugs/DB00619
- PubChem CID 5291: https://pubchem.ncbi.nlm.nih.gov/compound/5291
- LiverTox Imatinib: https://www.ncbi.nlm.nih.gov/books/NBK548559/</t>
  </si>
  <si>
    <t xml:space="preserve">COc1ccc(CCN(C)CCCC(C#N)(C(C)C)c2ccc(OC)c(OC)c2)cc1OC</t>
  </si>
  <si>
    <t xml:space="preserve">DB00661 / CID 2520</t>
  </si>
  <si>
    <t xml:space="preserve">- FDA Calan label: https://www.accessdata.fda.gov/drugsatfda_docs/label/2013/019152s038lbl.pdf
- DrugBank DB00661: https://go.drugbank.com/drugs/DB00661
- Circ Res hERG IC50 paper: https://www.ahajournals.org/doi/10.1161/01.res.84.9.989
- INCHEM PIM 552: https://www.inchem.org/documents/pims/pharm/verapami.htm</t>
  </si>
  <si>
    <t xml:space="preserve">CC(C)NCC(O)COc1cccc2ccccc12</t>
  </si>
  <si>
    <t xml:space="preserve">DB00571 / CID 4946</t>
  </si>
  <si>
    <t xml:space="preserve">- FDA Propranolol label: https://www.accessdata.fda.gov/drugsatfda_docs/label/2008/016419s029lbl.pdf
- DrugBank DB00571: https://go.drugbank.com/drugs/DB00571
- Propranolol PK review: https://pubmed.ncbi.nlm.nih.gov/787953/
- Wikipedia (cited): https://en.wikipedia.org/wiki/Propranolol</t>
  </si>
  <si>
    <t xml:space="preserve">CCCc1nn(C)c2c1nc([nH]c2=O)c1cc(ccc1OCC)S(=O)(=O)N1CCN(C)CC1</t>
  </si>
  <si>
    <t xml:space="preserve">DB00203 / CID 5212</t>
  </si>
  <si>
    <t xml:space="preserve">- FDA Viagra label: https://www.accessdata.fda.gov/drugsatfda_docs/label/2006/020895s023lbl.pdf
- DrugBank DB00203: https://go.drugbank.com/drugs/DB00203
- PubChem CID 5212: https://pubchem.ncbi.nlm.nih.gov/compound/5212
- Springer Drugs 1999 PK: https://link.springer.com/article/10.2165/00003495-199957060-00015</t>
  </si>
  <si>
    <t xml:space="preserve">OC(=O)[C@@H]1CCCN1C(=O)[C@H](CCCCN)N[C@@H](CCc1ccccc1)C(=O)O</t>
  </si>
  <si>
    <t xml:space="preserve">DB00722 / CID 5362119</t>
  </si>
  <si>
    <t xml:space="preserve">- FDA Prinivil label: https://www.accessdata.fda.gov/drugsatfda_docs/label/2007/019777s054lbl.pdf
- DrugBank DB00722: https://go.drugbank.com/drugs/DB00722
- PubChem CID 5362119: https://pubchem.ncbi.nlm.nih.gov/compound/5362119
- StatPearls Lisinopril: https://www.ncbi.nlm.nih.gov/books/NBK482230/</t>
  </si>
  <si>
    <t xml:space="preserve">CCC(C)(C)C(=O)OC1CC(C)C=C2C=CC(C)C(CCC3CC(O)CC(=O)O3)C12</t>
  </si>
  <si>
    <t xml:space="preserve">DB00641 / CID 54454</t>
  </si>
  <si>
    <t xml:space="preserve">- FDA Zocor label: https://www.accessdata.fda.gov/drugsatfda_docs/label/2012/019766s085lbl.pdf
- DrugBank DB00641: https://go.drugbank.com/drugs/DB00641
- PubChem CID 54454: https://pubchem.ncbi.nlm.nih.gov/compound/54454
- StatPearls Simvastatin: https://www.ncbi.nlm.nih.gov/books/NBK557812/</t>
  </si>
  <si>
    <t xml:space="preserve">CC1([C@@H](N2[C@H](S1)[C@@H](C2=O)NC(=O)[C@@H](c3ccc(O)cc3)N)C(=O)O)C</t>
  </si>
  <si>
    <t xml:space="preserve">DB01060 / CID 33613</t>
  </si>
  <si>
    <t xml:space="preserve">- FDA Amoxil label: https://www.accessdata.fda.gov/drugsatfda_docs/label/2008/050754s011,050760s010,050761s010lbl.pdf
- DrugBank DB01060: https://go.drugbank.com/drugs/DB01060
- PubChem CID 33613: https://pubchem.ncbi.nlm.nih.gov/compound/33613
- StatPearls Amoxicillin: https://www.ncbi.nlm.nih.gov/books/NBK482250/</t>
  </si>
  <si>
    <t xml:space="preserve">O=C1CN=C(c2ccccc2)c2cc(Cl)ccc2N1C</t>
  </si>
  <si>
    <t xml:space="preserve">DB00829 / CID 3016</t>
  </si>
  <si>
    <t xml:space="preserve">- FDA Valium label: https://www.accessdata.fda.gov/drugsatfda_docs/label/2016/013263s094lbl.pdf
- DrugBank DB00829: https://go.drugbank.com/drugs/DB00829
- PubChem CID 3016: https://pubchem.ncbi.nlm.nih.gov/compound/3016
- StatPearls Diazepam: https://www.ncbi.nlm.nih.gov/books/NBK537022/</t>
  </si>
  <si>
    <t xml:space="preserve">CC(=O)Nc1ccc(O)cc1</t>
  </si>
  <si>
    <t xml:space="preserve">DB00316 / CID 1983</t>
  </si>
  <si>
    <t xml:space="preserve">- FDA Tylenol label: https://www.accessdata.fda.gov/drugsatfda_docs/label/2020/019872s059lbl.pdf
- DrugBank DB00316: https://go.drugbank.com/drugs/DB00316
- PubChem CID 1983: https://pubchem.ncbi.nlm.nih.gov/compound/1983
- StatPearls Acetaminophen: https://www.ncbi.nlm.nih.gov/books/NBK482369/
- LiverTox Acetaminophen: https://www.ncbi.nlm.nih.gov/books/NBK548162/</t>
  </si>
  <si>
    <t xml:space="preserve">Preclinical / early-clinical small molecules — companies, patents, SMILES</t>
  </si>
  <si>
    <t xml:space="preserve">No SMILES fabricated. 'Verified' structures confirmed vs PubChem this session or are well-established public structures. Where a clinical candidate's structure is patent-only / undisclosed, the SMILES cell says so. Hakase L1 v1.1 columns are live engine outputs for the molecules with a usable SMILES — this is the tool behaving on genuinely novel chemistry.</t>
  </si>
  <si>
    <t xml:space="preserve">Compound</t>
  </si>
  <si>
    <t xml:space="preserve">Company / patent assignee</t>
  </si>
  <si>
    <t xml:space="preserve">Target / Indication</t>
  </si>
  <si>
    <t xml:space="preserve">Stage</t>
  </si>
  <si>
    <t xml:space="preserve">SMILES (verified) or disclosure note</t>
  </si>
  <si>
    <t xml:space="preserve">L1: F% / t½(h) / hERG / DILI</t>
  </si>
  <si>
    <t xml:space="preserve">L1 applicability domain</t>
  </si>
  <si>
    <t xml:space="preserve">Reference</t>
  </si>
  <si>
    <t xml:space="preserve">MRTX1133</t>
  </si>
  <si>
    <t xml:space="preserve">Mirati Therapeutics (acquired by Bristol Myers Squibb, 2024)</t>
  </si>
  <si>
    <t xml:space="preserve">KRAS G12D inhibitor — pancreatic / colorectal cancer</t>
  </si>
  <si>
    <t xml:space="preserve">Phase 1/2</t>
  </si>
  <si>
    <t xml:space="preserve">C#CC1=C(F)C=CC2=CC(O)=CC(C3=C(F)C4=C(C=N3)C(N3CC5CCC(C3)N5)=NC(OC[C@@]35CCCN3C[C@H](F)C5)=N4)=C21</t>
  </si>
  <si>
    <t xml:space="preserve">F=49%  t½=6.1h  hERG+  DILI=High</t>
  </si>
  <si>
    <t xml:space="preserve">in-domain</t>
  </si>
  <si>
    <t xml:space="preserve">https://pubchem.ncbi.nlm.nih.gov/compound/156124857</t>
  </si>
  <si>
    <t xml:space="preserve">Resmetirom (MGL-3196)</t>
  </si>
  <si>
    <t xml:space="preserve">Madrigal Pharmaceuticals</t>
  </si>
  <si>
    <t xml:space="preserve">THR-β agonist — MASH / NASH (now marketed as Rezdiffra, 2024)</t>
  </si>
  <si>
    <t xml:space="preserve">Approved 2024 (recent — preclinical SMILES public)</t>
  </si>
  <si>
    <t xml:space="preserve">CC(C)C1=CC(OC2=C(Cl)C=C(C=C2Cl)N3N=C(C#N)C(=O)NC3=O)=NNC1=O</t>
  </si>
  <si>
    <t xml:space="preserve">F=33%  t½=3.6h  hERG-  DILI=Low</t>
  </si>
  <si>
    <t xml:space="preserve">https://pubchem.ncbi.nlm.nih.gov/compound/15981237</t>
  </si>
  <si>
    <t xml:space="preserve">Orforglipron (LY3502970)</t>
  </si>
  <si>
    <t xml:space="preserve">Eli Lilly (licensed from Chugai Pharmaceutical)</t>
  </si>
  <si>
    <t xml:space="preserve">Oral non-peptide GLP-1R agonist — obesity / type-2 diabetes</t>
  </si>
  <si>
    <t xml:space="preserve">Phase 3 (not yet approved)</t>
  </si>
  <si>
    <t xml:space="preserve">SMILES public — PubChem CID 137319706 (C48H48F2N10O5). Pull from PubChem; large peptidomimetic, may be borderline AD.</t>
  </si>
  <si>
    <t xml:space="preserve">n/a — SMILES not available</t>
  </si>
  <si>
    <t xml:space="preserve">n/a</t>
  </si>
  <si>
    <t xml:space="preserve">https://pubchem.ncbi.nlm.nih.gov/compound/137319706</t>
  </si>
  <si>
    <t xml:space="preserve">Danuglipron (PF-06882961)</t>
  </si>
  <si>
    <t xml:space="preserve">Pfizer</t>
  </si>
  <si>
    <t xml:space="preserve">Oral GLP-1R agonist — type-2 diabetes / obesity</t>
  </si>
  <si>
    <t xml:space="preserve">Phase 3 — DISCONTINUED 2025 (hepatotoxicity signal)</t>
  </si>
  <si>
    <t xml:space="preserve">SMILES public — PubChem CID 91758680. Useful negative control: real-world DILI signal to test L1 DILI flag.</t>
  </si>
  <si>
    <t xml:space="preserve">https://pubchem.ncbi.nlm.nih.gov/compound/91758680</t>
  </si>
  <si>
    <t xml:space="preserve">Aficamten (CK-3773274)</t>
  </si>
  <si>
    <t xml:space="preserve">Cytokinetics</t>
  </si>
  <si>
    <t xml:space="preserve">Cardiac myosin inhibitor — hypertrophic cardiomyopathy</t>
  </si>
  <si>
    <t xml:space="preserve">Phase 3</t>
  </si>
  <si>
    <t xml:space="preserve">SMILES public — PubChem CID 156588372. Pull from PubChem.</t>
  </si>
  <si>
    <t xml:space="preserve">https://pubchem.ncbi.nlm.nih.gov/#query=aficamten</t>
  </si>
  <si>
    <t xml:space="preserve">Zasocitinib (TAK-279 / NDI-034858)</t>
  </si>
  <si>
    <t xml:space="preserve">Nimbus Therapeutics → Takeda (TYK2 program acquired 2023)</t>
  </si>
  <si>
    <t xml:space="preserve">Allosteric TYK2 inhibitor — psoriasis / psoriatic arthritis</t>
  </si>
  <si>
    <t xml:space="preserve">SMILES public — PubChem CID 156618800. Pull from PubChem.</t>
  </si>
  <si>
    <t xml:space="preserve">https://pubchem.ncbi.nlm.nih.gov/#query=TAK-279</t>
  </si>
  <si>
    <t xml:space="preserve">RMC-9805 (zoldonrasib)</t>
  </si>
  <si>
    <t xml:space="preserve">Revolution Medicines</t>
  </si>
  <si>
    <t xml:space="preserve">Covalent ON-state KRAS G12D inhibitor — solid tumors</t>
  </si>
  <si>
    <t xml:space="preserve">Phase 1</t>
  </si>
  <si>
    <t xml:space="preserve">Structure disclosed in Revolution Medicines patents (WO2023/economy series) — verify exact SMILES via the patent before use.</t>
  </si>
  <si>
    <t xml:space="preserve">https://patents.google.com/?assignee=Revolution+Medicines</t>
  </si>
  <si>
    <t xml:space="preserve">RMC-6236 (daraxonrasib)</t>
  </si>
  <si>
    <t xml:space="preserve">RAS(ON) multi-selective inhibitor — pancreatic / lung cancer</t>
  </si>
  <si>
    <t xml:space="preserve">Patent-disclosed (Revolution Medicines). SMILES not on a clean public PubChem record — extract from patent family.</t>
  </si>
  <si>
    <t xml:space="preserve">Rentosertib (ISM001-055)</t>
  </si>
  <si>
    <t xml:space="preserve">Insilico Medicine (AI-discovered, generative chemistry)</t>
  </si>
  <si>
    <t xml:space="preserve">TNIK inhibitor — idiopathic pulmonary fibrosis</t>
  </si>
  <si>
    <t xml:space="preserve">Phase 2a</t>
  </si>
  <si>
    <t xml:space="preserve">Structure disclosed in 2025 Nature Medicine paper / Insilico patents — verify SMILES from the primary publication.</t>
  </si>
  <si>
    <t xml:space="preserve">https://insilico.com/</t>
  </si>
  <si>
    <t xml:space="preserve">VRG50635</t>
  </si>
  <si>
    <t xml:space="preserve">Verge Genomics (AI/ML target discovery)</t>
  </si>
  <si>
    <t xml:space="preserve">PIKfyve inhibitor — amyotrophic lateral sclerosis (ALS)</t>
  </si>
  <si>
    <t xml:space="preserve">Structure not fully publicly disclosed — patent-stage candidate. SMILES not reliably available.</t>
  </si>
  <si>
    <t xml:space="preserve">https://www.vergegenomics.com/</t>
  </si>
  <si>
    <t xml:space="preserve">REC-2282 (AR-42)</t>
  </si>
  <si>
    <t xml:space="preserve">Recursion Pharmaceuticals</t>
  </si>
  <si>
    <t xml:space="preserve">Pan-HDAC inhibitor — NF2-mutant meningioma</t>
  </si>
  <si>
    <t xml:space="preserve">Phase 2/3</t>
  </si>
  <si>
    <t xml:space="preserve">SMILES public — PubChem CID 9936746 (originally AR-42 / OSU-HDAC42). Pull from PubChem.</t>
  </si>
  <si>
    <t xml:space="preserve">https://pubchem.ncbi.nlm.nih.gov/#query=AR-42+HDAC</t>
  </si>
  <si>
    <t xml:space="preserve">Sirpiglenastat (DRP-104)</t>
  </si>
  <si>
    <t xml:space="preserve">Dracen Pharmaceuticals</t>
  </si>
  <si>
    <t xml:space="preserve">Glutamine antagonist prodrug (DON prodrug) — solid tumors</t>
  </si>
  <si>
    <t xml:space="preserve">Prodrug of 6-diazo-5-oxo-L-norleucine (DON). SMILES disclosed in Dracen patents — verify; prodrug → L1 will model the prodrug form, not the active species.</t>
  </si>
  <si>
    <t xml:space="preserve">https://patents.google.com/?q=DRP-104+glutamine</t>
  </si>
  <si>
    <t xml:space="preserve">ABBV-CLS-484 (AC484)</t>
  </si>
  <si>
    <t xml:space="preserve">Calico Life Sciences + AbbVie</t>
  </si>
  <si>
    <t xml:space="preserve">PTPN2/PTPN1 phosphatase inhibitor — immuno-oncology</t>
  </si>
  <si>
    <t xml:space="preserve">Structure disclosed in Calico/AbbVie patents — verify SMILES from the patent family before use.</t>
  </si>
  <si>
    <t xml:space="preserve">https://patents.google.com/?assignee=Calico+Life+Sciences</t>
  </si>
  <si>
    <t xml:space="preserve">Bexotegrast (PLN-74809)</t>
  </si>
  <si>
    <t xml:space="preserve">Pliant Therapeutics</t>
  </si>
  <si>
    <t xml:space="preserve">Dual αvβ6/αvβ1 integrin inhibitor — IPF / primary sclerosing cholangitis</t>
  </si>
  <si>
    <t xml:space="preserve">Phase 2</t>
  </si>
  <si>
    <t xml:space="preserve">SMILES public — PubChem CID 145711748. Pull from PubChem.</t>
  </si>
  <si>
    <t xml:space="preserve">https://pubchem.ncbi.nlm.nih.gov/#query=bexotegrast</t>
  </si>
  <si>
    <t xml:space="preserve">NOTE FOR NOVEL-COMPOUND USE: L1 v1.1 is calibrated on drug-like chemistry (MW 100-700, logP -2..7). For each new molecule check the 'applicability domain' field FIRST — 'in-domain' = triage-ready; 'borderline'/'out-of-domain' = treat numbers as directional only and prioritise wet-lab. Prodrugs (e.g. DRP-104) are modelled as the dosed form, not the active metabolite — interpret accordingly.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</si>
</sst>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C2B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2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2"/>
    <col collapsed="false" customWidth="true" hidden="false" outlineLevel="0" max="3" min="2" style="1" width="16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8" min="6" style="1" width="12"/>
    <col collapsed="false" customWidth="true" hidden="false" outlineLevel="0" max="9" min="9" style="1" width="15"/>
    <col collapsed="false" customWidth="true" hidden="false" outlineLevel="0" max="11" min="10" style="1" width="13"/>
    <col collapsed="false" customWidth="true" hidden="false" outlineLevel="0" max="12" min="12" style="1" width="1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6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15" hidden="false" customHeight="true" outlineLevel="0" collapsed="false">
      <c r="A5" s="5" t="n">
        <v>1</v>
      </c>
      <c r="B5" s="5" t="s">
        <v>14</v>
      </c>
      <c r="C5" s="6" t="n">
        <v>558.65</v>
      </c>
      <c r="D5" s="7" t="n">
        <v>558.65</v>
      </c>
      <c r="E5" s="6" t="n">
        <v>6.31</v>
      </c>
      <c r="F5" s="7" t="n">
        <v>6.36</v>
      </c>
      <c r="G5" s="6" t="n">
        <v>39.3</v>
      </c>
      <c r="H5" s="7" t="n">
        <v>14</v>
      </c>
      <c r="I5" s="6" t="n">
        <v>12.8</v>
      </c>
      <c r="J5" s="7" t="n">
        <v>14</v>
      </c>
      <c r="K5" s="6" t="s">
        <v>15</v>
      </c>
      <c r="L5" s="7" t="s">
        <v>15</v>
      </c>
    </row>
    <row r="6" customFormat="false" ht="15" hidden="false" customHeight="true" outlineLevel="0" collapsed="false">
      <c r="A6" s="8" t="n">
        <v>2</v>
      </c>
      <c r="B6" s="8" t="s">
        <v>16</v>
      </c>
      <c r="C6" s="6" t="n">
        <v>180.16</v>
      </c>
      <c r="D6" s="7" t="n">
        <v>180.16</v>
      </c>
      <c r="E6" s="6" t="n">
        <v>1.31</v>
      </c>
      <c r="F6" s="7" t="n">
        <v>1.19</v>
      </c>
      <c r="G6" s="6" t="n">
        <v>76.8</v>
      </c>
      <c r="H6" s="7" t="n">
        <v>68</v>
      </c>
      <c r="I6" s="6" t="n">
        <v>0.7</v>
      </c>
      <c r="J6" s="7" t="n">
        <v>0.3</v>
      </c>
      <c r="K6" s="6" t="s">
        <v>15</v>
      </c>
      <c r="L6" s="7" t="s">
        <v>15</v>
      </c>
    </row>
    <row r="7" customFormat="false" ht="15" hidden="false" customHeight="true" outlineLevel="0" collapsed="false">
      <c r="A7" s="5" t="n">
        <v>3</v>
      </c>
      <c r="B7" s="5" t="s">
        <v>17</v>
      </c>
      <c r="C7" s="6" t="n">
        <v>206.28</v>
      </c>
      <c r="D7" s="7" t="n">
        <v>206.28</v>
      </c>
      <c r="E7" s="6" t="n">
        <v>3.07</v>
      </c>
      <c r="F7" s="7" t="n">
        <v>3.97</v>
      </c>
      <c r="G7" s="6" t="n">
        <v>89</v>
      </c>
      <c r="H7" s="7" t="n">
        <v>95</v>
      </c>
      <c r="I7" s="6" t="n">
        <v>0.8</v>
      </c>
      <c r="J7" s="7" t="n">
        <v>2</v>
      </c>
      <c r="K7" s="6" t="s">
        <v>15</v>
      </c>
      <c r="L7" s="7" t="s">
        <v>15</v>
      </c>
    </row>
    <row r="8" customFormat="false" ht="15" hidden="false" customHeight="true" outlineLevel="0" collapsed="false">
      <c r="A8" s="8" t="n">
        <v>4</v>
      </c>
      <c r="B8" s="8" t="s">
        <v>18</v>
      </c>
      <c r="C8" s="6" t="n">
        <v>129.17</v>
      </c>
      <c r="D8" s="7" t="n">
        <v>129.16</v>
      </c>
      <c r="E8" s="6" t="n">
        <v>-1.03</v>
      </c>
      <c r="F8" s="7" t="n">
        <v>-1.43</v>
      </c>
      <c r="G8" s="6" t="n">
        <v>52.5</v>
      </c>
      <c r="H8" s="7" t="n">
        <v>55</v>
      </c>
      <c r="I8" s="6" t="n">
        <v>3.1</v>
      </c>
      <c r="J8" s="7" t="n">
        <v>6.2</v>
      </c>
      <c r="K8" s="6" t="s">
        <v>15</v>
      </c>
      <c r="L8" s="7" t="s">
        <v>15</v>
      </c>
    </row>
    <row r="9" customFormat="false" ht="15" hidden="false" customHeight="true" outlineLevel="0" collapsed="false">
      <c r="A9" s="5" t="n">
        <v>5</v>
      </c>
      <c r="B9" s="5" t="s">
        <v>19</v>
      </c>
      <c r="C9" s="6" t="n">
        <v>308.33</v>
      </c>
      <c r="D9" s="7" t="n">
        <v>308.33</v>
      </c>
      <c r="E9" s="6" t="n">
        <v>3.61</v>
      </c>
      <c r="F9" s="7" t="n">
        <v>2.7</v>
      </c>
      <c r="G9" s="6" t="n">
        <v>89.9</v>
      </c>
      <c r="H9" s="7" t="n">
        <v>99</v>
      </c>
      <c r="I9" s="6" t="n">
        <v>11.8</v>
      </c>
      <c r="J9" s="7" t="n">
        <v>40</v>
      </c>
      <c r="K9" s="6" t="s">
        <v>15</v>
      </c>
      <c r="L9" s="7" t="s">
        <v>15</v>
      </c>
    </row>
    <row r="10" customFormat="false" ht="15" hidden="false" customHeight="true" outlineLevel="0" collapsed="false">
      <c r="A10" s="8" t="n">
        <v>6</v>
      </c>
      <c r="B10" s="8" t="s">
        <v>20</v>
      </c>
      <c r="C10" s="6" t="n">
        <v>194.19</v>
      </c>
      <c r="D10" s="7" t="n">
        <v>194.19</v>
      </c>
      <c r="E10" s="6" t="n">
        <v>-1.03</v>
      </c>
      <c r="F10" s="7" t="n">
        <v>-0.07</v>
      </c>
      <c r="G10" s="6" t="n">
        <v>76.7</v>
      </c>
      <c r="H10" s="7" t="n">
        <v>99</v>
      </c>
      <c r="I10" s="6" t="n">
        <v>3.8</v>
      </c>
      <c r="J10" s="7" t="n">
        <v>5</v>
      </c>
      <c r="K10" s="6" t="s">
        <v>15</v>
      </c>
      <c r="L10" s="7" t="s">
        <v>15</v>
      </c>
    </row>
    <row r="11" customFormat="false" ht="15" hidden="false" customHeight="true" outlineLevel="0" collapsed="false">
      <c r="A11" s="5" t="n">
        <v>7</v>
      </c>
      <c r="B11" s="5" t="s">
        <v>21</v>
      </c>
      <c r="C11" s="6" t="n">
        <v>493.62</v>
      </c>
      <c r="D11" s="7" t="n">
        <v>493.6</v>
      </c>
      <c r="E11" s="6" t="n">
        <v>4.59</v>
      </c>
      <c r="F11" s="7" t="n">
        <v>3</v>
      </c>
      <c r="G11" s="6" t="n">
        <v>60.1</v>
      </c>
      <c r="H11" s="7" t="n">
        <v>98</v>
      </c>
      <c r="I11" s="6" t="n">
        <v>5.8</v>
      </c>
      <c r="J11" s="7" t="n">
        <v>18</v>
      </c>
      <c r="K11" s="6" t="s">
        <v>22</v>
      </c>
      <c r="L11" s="7" t="s">
        <v>15</v>
      </c>
    </row>
    <row r="12" customFormat="false" ht="15" hidden="false" customHeight="true" outlineLevel="0" collapsed="false">
      <c r="A12" s="8" t="n">
        <v>8</v>
      </c>
      <c r="B12" s="8" t="s">
        <v>23</v>
      </c>
      <c r="C12" s="6" t="n">
        <v>454.61</v>
      </c>
      <c r="D12" s="7" t="n">
        <v>454.6</v>
      </c>
      <c r="E12" s="6" t="n">
        <v>5.09</v>
      </c>
      <c r="F12" s="7" t="n">
        <v>3.79</v>
      </c>
      <c r="G12" s="6" t="n">
        <v>46.8</v>
      </c>
      <c r="H12" s="7" t="n">
        <v>22</v>
      </c>
      <c r="I12" s="6" t="n">
        <v>5.6</v>
      </c>
      <c r="J12" s="7" t="n">
        <v>6</v>
      </c>
      <c r="K12" s="6" t="s">
        <v>22</v>
      </c>
      <c r="L12" s="7" t="s">
        <v>22</v>
      </c>
    </row>
    <row r="13" customFormat="false" ht="15" hidden="false" customHeight="true" outlineLevel="0" collapsed="false">
      <c r="A13" s="5" t="n">
        <v>9</v>
      </c>
      <c r="B13" s="5" t="s">
        <v>24</v>
      </c>
      <c r="C13" s="6" t="n">
        <v>259.35</v>
      </c>
      <c r="D13" s="7" t="n">
        <v>259.34</v>
      </c>
      <c r="E13" s="6" t="n">
        <v>2.58</v>
      </c>
      <c r="F13" s="7" t="n">
        <v>3.48</v>
      </c>
      <c r="G13" s="6" t="n">
        <v>88.2</v>
      </c>
      <c r="H13" s="7" t="n">
        <v>26</v>
      </c>
      <c r="I13" s="6" t="n">
        <v>11.3</v>
      </c>
      <c r="J13" s="7" t="n">
        <v>4</v>
      </c>
      <c r="K13" s="6" t="s">
        <v>15</v>
      </c>
      <c r="L13" s="7" t="s">
        <v>15</v>
      </c>
    </row>
    <row r="14" customFormat="false" ht="15" hidden="false" customHeight="true" outlineLevel="0" collapsed="false">
      <c r="A14" s="8" t="n">
        <v>10</v>
      </c>
      <c r="B14" s="8" t="s">
        <v>25</v>
      </c>
      <c r="C14" s="6" t="n">
        <v>474.59</v>
      </c>
      <c r="D14" s="7" t="n">
        <v>474.58</v>
      </c>
      <c r="E14" s="6" t="n">
        <v>1.61</v>
      </c>
      <c r="F14" s="7" t="n">
        <v>2.75</v>
      </c>
      <c r="G14" s="6" t="n">
        <v>60.9</v>
      </c>
      <c r="H14" s="7" t="n">
        <v>41</v>
      </c>
      <c r="I14" s="6" t="n">
        <v>4</v>
      </c>
      <c r="J14" s="7" t="n">
        <v>4</v>
      </c>
      <c r="K14" s="6" t="s">
        <v>15</v>
      </c>
      <c r="L14" s="7" t="s">
        <v>15</v>
      </c>
    </row>
    <row r="15" customFormat="false" ht="15" hidden="false" customHeight="true" outlineLevel="0" collapsed="false">
      <c r="A15" s="5" t="n">
        <v>11</v>
      </c>
      <c r="B15" s="5" t="s">
        <v>26</v>
      </c>
      <c r="C15" s="6" t="n">
        <v>405.5</v>
      </c>
      <c r="D15" s="7" t="n">
        <v>405.49</v>
      </c>
      <c r="E15" s="6" t="n">
        <v>1.24</v>
      </c>
      <c r="F15" s="7" t="n">
        <v>-1.22</v>
      </c>
      <c r="G15" s="6" t="n">
        <v>33.1</v>
      </c>
      <c r="H15" s="7" t="n">
        <v>25</v>
      </c>
      <c r="I15" s="6" t="n">
        <v>3.5</v>
      </c>
      <c r="J15" s="7" t="n">
        <v>12</v>
      </c>
      <c r="K15" s="6" t="s">
        <v>15</v>
      </c>
      <c r="L15" s="7" t="s">
        <v>15</v>
      </c>
    </row>
    <row r="16" customFormat="false" ht="15" hidden="false" customHeight="true" outlineLevel="0" collapsed="false">
      <c r="A16" s="8" t="n">
        <v>12</v>
      </c>
      <c r="B16" s="8" t="s">
        <v>27</v>
      </c>
      <c r="C16" s="6" t="n">
        <v>418.57</v>
      </c>
      <c r="D16" s="7" t="n">
        <v>418.57</v>
      </c>
      <c r="E16" s="6" t="n">
        <v>4.59</v>
      </c>
      <c r="F16" s="7" t="n">
        <v>4.68</v>
      </c>
      <c r="G16" s="6" t="n">
        <v>89.8</v>
      </c>
      <c r="H16" s="7" t="n">
        <v>5</v>
      </c>
      <c r="I16" s="6" t="n">
        <v>7.2</v>
      </c>
      <c r="J16" s="7" t="n">
        <v>2</v>
      </c>
      <c r="K16" s="6" t="s">
        <v>15</v>
      </c>
      <c r="L16" s="7" t="s">
        <v>15</v>
      </c>
    </row>
    <row r="17" customFormat="false" ht="15" hidden="false" customHeight="true" outlineLevel="0" collapsed="false">
      <c r="A17" s="5" t="n">
        <v>13</v>
      </c>
      <c r="B17" s="5" t="s">
        <v>28</v>
      </c>
      <c r="C17" s="6" t="n">
        <v>365.41</v>
      </c>
      <c r="D17" s="7" t="n">
        <v>365.4</v>
      </c>
      <c r="E17" s="6" t="n">
        <v>0.02</v>
      </c>
      <c r="F17" s="7" t="n">
        <v>0.87</v>
      </c>
      <c r="G17" s="6" t="n">
        <v>54.8</v>
      </c>
      <c r="H17" s="7" t="n">
        <v>60</v>
      </c>
      <c r="I17" s="6" t="n">
        <v>3.3</v>
      </c>
      <c r="J17" s="7" t="n">
        <v>1</v>
      </c>
      <c r="K17" s="6" t="s">
        <v>15</v>
      </c>
      <c r="L17" s="7" t="s">
        <v>15</v>
      </c>
    </row>
    <row r="18" customFormat="false" ht="15" hidden="false" customHeight="true" outlineLevel="0" collapsed="false">
      <c r="A18" s="8" t="n">
        <v>14</v>
      </c>
      <c r="B18" s="8" t="s">
        <v>29</v>
      </c>
      <c r="C18" s="6" t="n">
        <v>284.75</v>
      </c>
      <c r="D18" s="7" t="n">
        <v>284.74</v>
      </c>
      <c r="E18" s="6" t="n">
        <v>3.15</v>
      </c>
      <c r="F18" s="7" t="n">
        <v>2.82</v>
      </c>
      <c r="G18" s="6" t="n">
        <v>89.4</v>
      </c>
      <c r="H18" s="7" t="n">
        <v>95</v>
      </c>
      <c r="I18" s="6" t="n">
        <v>5.2</v>
      </c>
      <c r="J18" s="7" t="n">
        <v>40</v>
      </c>
      <c r="K18" s="6" t="s">
        <v>15</v>
      </c>
      <c r="L18" s="7" t="s">
        <v>15</v>
      </c>
    </row>
    <row r="19" customFormat="false" ht="15" hidden="false" customHeight="true" outlineLevel="0" collapsed="false">
      <c r="A19" s="5" t="n">
        <v>15</v>
      </c>
      <c r="B19" s="5" t="s">
        <v>30</v>
      </c>
      <c r="C19" s="6" t="n">
        <v>151.16</v>
      </c>
      <c r="D19" s="7" t="n">
        <v>151.16</v>
      </c>
      <c r="E19" s="6" t="n">
        <v>1.35</v>
      </c>
      <c r="F19" s="7" t="n">
        <v>0.46</v>
      </c>
      <c r="G19" s="6" t="n">
        <v>86.7</v>
      </c>
      <c r="H19" s="7" t="n">
        <v>88</v>
      </c>
      <c r="I19" s="6" t="n">
        <v>4</v>
      </c>
      <c r="J19" s="7" t="n">
        <v>2.5</v>
      </c>
      <c r="K19" s="6" t="s">
        <v>15</v>
      </c>
      <c r="L19" s="7" t="s">
        <v>15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4" min="3" style="1" width="14"/>
  </cols>
  <sheetData>
    <row r="1" customFormat="false" ht="15.75" hidden="false" customHeight="true" outlineLevel="0" collapsed="false">
      <c r="A1" s="9" t="s">
        <v>31</v>
      </c>
      <c r="B1" s="9"/>
      <c r="C1" s="9"/>
      <c r="D1" s="9"/>
    </row>
    <row r="3" customFormat="false" ht="26.25" hidden="false" customHeight="true" outlineLevel="0" collapsed="false">
      <c r="A3" s="4" t="s">
        <v>3</v>
      </c>
      <c r="B3" s="4" t="s">
        <v>32</v>
      </c>
      <c r="C3" s="4" t="s">
        <v>33</v>
      </c>
      <c r="D3" s="4" t="s">
        <v>34</v>
      </c>
    </row>
    <row r="4" customFormat="false" ht="15" hidden="false" customHeight="true" outlineLevel="0" collapsed="false">
      <c r="A4" s="5" t="s">
        <v>14</v>
      </c>
      <c r="B4" s="5" t="n">
        <v>13</v>
      </c>
      <c r="C4" s="5" t="n">
        <v>9</v>
      </c>
      <c r="D4" s="10" t="n">
        <f aca="false">IF(B4&gt;0,C4/B4,0)</f>
        <v>0.692307692307692</v>
      </c>
    </row>
    <row r="5" customFormat="false" ht="15" hidden="false" customHeight="true" outlineLevel="0" collapsed="false">
      <c r="A5" s="5" t="s">
        <v>16</v>
      </c>
      <c r="B5" s="5" t="n">
        <v>14</v>
      </c>
      <c r="C5" s="5" t="n">
        <v>10</v>
      </c>
      <c r="D5" s="10" t="n">
        <f aca="false">IF(B5&gt;0,C5/B5,0)</f>
        <v>0.714285714285714</v>
      </c>
    </row>
    <row r="6" customFormat="false" ht="15" hidden="false" customHeight="true" outlineLevel="0" collapsed="false">
      <c r="A6" s="5" t="s">
        <v>17</v>
      </c>
      <c r="B6" s="5" t="n">
        <v>14</v>
      </c>
      <c r="C6" s="5" t="n">
        <v>10</v>
      </c>
      <c r="D6" s="10" t="n">
        <f aca="false">IF(B6&gt;0,C6/B6,0)</f>
        <v>0.714285714285714</v>
      </c>
    </row>
    <row r="7" customFormat="false" ht="15" hidden="false" customHeight="true" outlineLevel="0" collapsed="false">
      <c r="A7" s="5" t="s">
        <v>18</v>
      </c>
      <c r="B7" s="5" t="n">
        <v>13</v>
      </c>
      <c r="C7" s="5" t="n">
        <v>11</v>
      </c>
      <c r="D7" s="10" t="n">
        <f aca="false">IF(B7&gt;0,C7/B7,0)</f>
        <v>0.846153846153846</v>
      </c>
    </row>
    <row r="8" customFormat="false" ht="15" hidden="false" customHeight="true" outlineLevel="0" collapsed="false">
      <c r="A8" s="5" t="s">
        <v>19</v>
      </c>
      <c r="B8" s="5" t="n">
        <v>14</v>
      </c>
      <c r="C8" s="5" t="n">
        <v>9</v>
      </c>
      <c r="D8" s="10" t="n">
        <f aca="false">IF(B8&gt;0,C8/B8,0)</f>
        <v>0.642857142857143</v>
      </c>
    </row>
    <row r="9" customFormat="false" ht="15" hidden="false" customHeight="true" outlineLevel="0" collapsed="false">
      <c r="A9" s="5" t="s">
        <v>20</v>
      </c>
      <c r="B9" s="5" t="n">
        <v>14</v>
      </c>
      <c r="C9" s="5" t="n">
        <v>9</v>
      </c>
      <c r="D9" s="10" t="n">
        <f aca="false">IF(B9&gt;0,C9/B9,0)</f>
        <v>0.642857142857143</v>
      </c>
    </row>
    <row r="10" customFormat="false" ht="15" hidden="false" customHeight="true" outlineLevel="0" collapsed="false">
      <c r="A10" s="5" t="s">
        <v>21</v>
      </c>
      <c r="B10" s="5" t="n">
        <v>14</v>
      </c>
      <c r="C10" s="5" t="n">
        <v>8</v>
      </c>
      <c r="D10" s="10" t="n">
        <f aca="false">IF(B10&gt;0,C10/B10,0)</f>
        <v>0.571428571428571</v>
      </c>
    </row>
    <row r="11" customFormat="false" ht="15" hidden="false" customHeight="true" outlineLevel="0" collapsed="false">
      <c r="A11" s="5" t="s">
        <v>23</v>
      </c>
      <c r="B11" s="5" t="n">
        <v>14</v>
      </c>
      <c r="C11" s="5" t="n">
        <v>10</v>
      </c>
      <c r="D11" s="10" t="n">
        <f aca="false">IF(B11&gt;0,C11/B11,0)</f>
        <v>0.714285714285714</v>
      </c>
    </row>
    <row r="12" customFormat="false" ht="15" hidden="false" customHeight="true" outlineLevel="0" collapsed="false">
      <c r="A12" s="5" t="s">
        <v>24</v>
      </c>
      <c r="B12" s="5" t="n">
        <v>14</v>
      </c>
      <c r="C12" s="5" t="n">
        <v>11</v>
      </c>
      <c r="D12" s="10" t="n">
        <f aca="false">IF(B12&gt;0,C12/B12,0)</f>
        <v>0.785714285714286</v>
      </c>
    </row>
    <row r="13" customFormat="false" ht="15" hidden="false" customHeight="true" outlineLevel="0" collapsed="false">
      <c r="A13" s="5" t="s">
        <v>25</v>
      </c>
      <c r="B13" s="5" t="n">
        <v>14</v>
      </c>
      <c r="C13" s="5" t="n">
        <v>12</v>
      </c>
      <c r="D13" s="10" t="n">
        <f aca="false">IF(B13&gt;0,C13/B13,0)</f>
        <v>0.857142857142857</v>
      </c>
    </row>
    <row r="14" customFormat="false" ht="15" hidden="false" customHeight="true" outlineLevel="0" collapsed="false">
      <c r="A14" s="5" t="s">
        <v>26</v>
      </c>
      <c r="B14" s="5" t="n">
        <v>14</v>
      </c>
      <c r="C14" s="5" t="n">
        <v>10</v>
      </c>
      <c r="D14" s="10" t="n">
        <f aca="false">IF(B14&gt;0,C14/B14,0)</f>
        <v>0.714285714285714</v>
      </c>
    </row>
    <row r="15" customFormat="false" ht="15" hidden="false" customHeight="true" outlineLevel="0" collapsed="false">
      <c r="A15" s="5" t="s">
        <v>27</v>
      </c>
      <c r="B15" s="5" t="n">
        <v>14</v>
      </c>
      <c r="C15" s="5" t="n">
        <v>9</v>
      </c>
      <c r="D15" s="10" t="n">
        <f aca="false">IF(B15&gt;0,C15/B15,0)</f>
        <v>0.642857142857143</v>
      </c>
    </row>
    <row r="16" customFormat="false" ht="15" hidden="false" customHeight="true" outlineLevel="0" collapsed="false">
      <c r="A16" s="5" t="s">
        <v>28</v>
      </c>
      <c r="B16" s="5" t="n">
        <v>14</v>
      </c>
      <c r="C16" s="5" t="n">
        <v>9</v>
      </c>
      <c r="D16" s="10" t="n">
        <f aca="false">IF(B16&gt;0,C16/B16,0)</f>
        <v>0.642857142857143</v>
      </c>
    </row>
    <row r="17" customFormat="false" ht="15" hidden="false" customHeight="true" outlineLevel="0" collapsed="false">
      <c r="A17" s="5" t="s">
        <v>29</v>
      </c>
      <c r="B17" s="5" t="n">
        <v>14</v>
      </c>
      <c r="C17" s="5" t="n">
        <v>12</v>
      </c>
      <c r="D17" s="10" t="n">
        <f aca="false">IF(B17&gt;0,C17/B17,0)</f>
        <v>0.857142857142857</v>
      </c>
    </row>
    <row r="18" customFormat="false" ht="15" hidden="false" customHeight="true" outlineLevel="0" collapsed="false">
      <c r="A18" s="5" t="s">
        <v>30</v>
      </c>
      <c r="B18" s="5" t="n">
        <v>14</v>
      </c>
      <c r="C18" s="5" t="n">
        <v>8</v>
      </c>
      <c r="D18" s="10" t="n">
        <f aca="false">IF(B18&gt;0,C18/B18,0)</f>
        <v>0.571428571428571</v>
      </c>
    </row>
    <row r="19" customFormat="false" ht="15" hidden="false" customHeight="true" outlineLevel="0" collapsed="false">
      <c r="A19" s="11" t="s">
        <v>35</v>
      </c>
      <c r="B19" s="11" t="n">
        <f aca="false">SUM(B4:B18)</f>
        <v>208</v>
      </c>
      <c r="C19" s="11" t="n">
        <f aca="false">SUM(C4:C18)</f>
        <v>147</v>
      </c>
      <c r="D19" s="12" t="n">
        <f aca="false">IF(B19&gt;0,C19/B19,0)</f>
        <v>0.706730769230769</v>
      </c>
    </row>
    <row r="22" customFormat="false" ht="15" hidden="false" customHeight="true" outlineLevel="0" collapsed="false">
      <c r="A22" s="13" t="s">
        <v>36</v>
      </c>
    </row>
    <row r="23" customFormat="false" ht="31.5" hidden="false" customHeight="true" outlineLevel="0" collapsed="false">
      <c r="A23" s="14" t="s">
        <v>37</v>
      </c>
      <c r="B23" s="14"/>
      <c r="C23" s="14"/>
      <c r="D23" s="14"/>
    </row>
    <row r="24" customFormat="false" ht="31.5" hidden="false" customHeight="true" outlineLevel="0" collapsed="false">
      <c r="A24" s="14" t="s">
        <v>38</v>
      </c>
      <c r="B24" s="14"/>
      <c r="C24" s="14"/>
      <c r="D24" s="14"/>
    </row>
    <row r="25" customFormat="false" ht="31.5" hidden="false" customHeight="true" outlineLevel="0" collapsed="false">
      <c r="A25" s="14" t="s">
        <v>39</v>
      </c>
      <c r="B25" s="14"/>
      <c r="C25" s="14"/>
      <c r="D25" s="14"/>
    </row>
    <row r="26" customFormat="false" ht="31.5" hidden="false" customHeight="true" outlineLevel="0" collapsed="false">
      <c r="A26" s="14" t="s">
        <v>40</v>
      </c>
      <c r="B26" s="14"/>
      <c r="C26" s="14"/>
      <c r="D26" s="14"/>
    </row>
    <row r="27" customFormat="false" ht="31.5" hidden="false" customHeight="true" outlineLevel="0" collapsed="false">
      <c r="A27" s="14" t="s">
        <v>41</v>
      </c>
      <c r="B27" s="14"/>
      <c r="C27" s="14"/>
      <c r="D27" s="14"/>
    </row>
    <row r="28" customFormat="false" ht="31.5" hidden="false" customHeight="true" outlineLevel="0" collapsed="false">
      <c r="A28" s="14" t="s">
        <v>42</v>
      </c>
      <c r="B28" s="14"/>
      <c r="C28" s="14"/>
      <c r="D28" s="14"/>
    </row>
    <row r="29" customFormat="false" ht="31.5" hidden="false" customHeight="true" outlineLevel="0" collapsed="false">
      <c r="A29" s="14" t="s">
        <v>43</v>
      </c>
      <c r="B29" s="14"/>
      <c r="C29" s="14"/>
      <c r="D29" s="14"/>
    </row>
    <row r="30" customFormat="false" ht="31.5" hidden="false" customHeight="true" outlineLevel="0" collapsed="false">
      <c r="A30" s="14" t="s">
        <v>44</v>
      </c>
      <c r="B30" s="14"/>
      <c r="C30" s="14"/>
      <c r="D30" s="14"/>
    </row>
    <row r="31" customFormat="false" ht="31.5" hidden="false" customHeight="true" outlineLevel="0" collapsed="false">
      <c r="A31" s="14" t="s">
        <v>45</v>
      </c>
      <c r="B31" s="14"/>
      <c r="C31" s="14"/>
      <c r="D31" s="14"/>
    </row>
    <row r="32" customFormat="false" ht="31.5" hidden="false" customHeight="true" outlineLevel="0" collapsed="false">
      <c r="A32" s="14"/>
      <c r="B32" s="14"/>
      <c r="C32" s="14"/>
      <c r="D32" s="14"/>
    </row>
    <row r="33" customFormat="false" ht="31.5" hidden="false" customHeight="true" outlineLevel="0" collapsed="false">
      <c r="A33" s="14" t="s">
        <v>46</v>
      </c>
      <c r="B33" s="14"/>
      <c r="C33" s="14"/>
      <c r="D33" s="14"/>
    </row>
    <row r="34" customFormat="false" ht="31.5" hidden="false" customHeight="true" outlineLevel="0" collapsed="false">
      <c r="A34" s="14" t="s">
        <v>47</v>
      </c>
      <c r="B34" s="14"/>
      <c r="C34" s="14"/>
      <c r="D34" s="14"/>
    </row>
    <row r="35" customFormat="false" ht="31.5" hidden="false" customHeight="true" outlineLevel="0" collapsed="false">
      <c r="A35" s="14" t="s">
        <v>48</v>
      </c>
      <c r="B35" s="14"/>
      <c r="C35" s="14"/>
      <c r="D35" s="14"/>
    </row>
    <row r="36" customFormat="false" ht="31.5" hidden="false" customHeight="true" outlineLevel="0" collapsed="false">
      <c r="A36" s="14" t="s">
        <v>49</v>
      </c>
      <c r="B36" s="14"/>
      <c r="C36" s="14"/>
      <c r="D36" s="14"/>
    </row>
    <row r="37" customFormat="false" ht="31.5" hidden="false" customHeight="true" outlineLevel="0" collapsed="false">
      <c r="A37" s="14" t="s">
        <v>50</v>
      </c>
      <c r="B37" s="14"/>
      <c r="C37" s="14"/>
      <c r="D37" s="14"/>
    </row>
  </sheetData>
  <mergeCells count="16">
    <mergeCell ref="A1:D1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6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60"/>
  </cols>
  <sheetData>
    <row r="1" customFormat="false" ht="15.75" hidden="false" customHeight="true" outlineLevel="0" collapsed="false">
      <c r="A1" s="9" t="s">
        <v>51</v>
      </c>
      <c r="B1" s="9"/>
      <c r="C1" s="9"/>
      <c r="D1" s="9"/>
      <c r="E1" s="9"/>
      <c r="F1" s="9"/>
    </row>
    <row r="2" customFormat="false" ht="15" hidden="false" customHeight="true" outlineLevel="0" collapsed="false">
      <c r="A2" s="3" t="s">
        <v>52</v>
      </c>
      <c r="B2" s="3"/>
      <c r="C2" s="3"/>
      <c r="D2" s="3"/>
      <c r="E2" s="3"/>
      <c r="F2" s="3"/>
    </row>
    <row r="4" customFormat="false" ht="27.75" hidden="false" customHeight="true" outlineLevel="0" collapsed="false">
      <c r="A4" s="4" t="s">
        <v>3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</row>
    <row r="5" customFormat="false" ht="23.25" hidden="false" customHeight="true" outlineLevel="0" collapsed="false">
      <c r="A5" s="15" t="s">
        <v>14</v>
      </c>
      <c r="B5" s="16" t="s">
        <v>59</v>
      </c>
      <c r="C5" s="17" t="n">
        <v>558.65</v>
      </c>
      <c r="D5" s="18" t="n">
        <v>558.65</v>
      </c>
      <c r="E5" s="19" t="s">
        <v>60</v>
      </c>
      <c r="F5" s="19" t="s">
        <v>61</v>
      </c>
      <c r="G5" s="16" t="s">
        <v>62</v>
      </c>
    </row>
    <row r="6" customFormat="false" ht="23.25" hidden="false" customHeight="true" outlineLevel="0" collapsed="false">
      <c r="A6" s="16"/>
      <c r="B6" s="16" t="s">
        <v>63</v>
      </c>
      <c r="C6" s="17" t="n">
        <v>6.31</v>
      </c>
      <c r="D6" s="18" t="n">
        <v>6.36</v>
      </c>
      <c r="E6" s="19" t="s">
        <v>64</v>
      </c>
      <c r="F6" s="19" t="s">
        <v>65</v>
      </c>
      <c r="G6" s="16" t="s">
        <v>62</v>
      </c>
    </row>
    <row r="7" customFormat="false" ht="23.25" hidden="false" customHeight="true" outlineLevel="0" collapsed="false">
      <c r="A7" s="16"/>
      <c r="B7" s="16" t="s">
        <v>66</v>
      </c>
      <c r="C7" s="17" t="n">
        <v>111.79</v>
      </c>
      <c r="D7" s="18" t="n">
        <v>111.79</v>
      </c>
      <c r="E7" s="19" t="s">
        <v>60</v>
      </c>
      <c r="F7" s="19" t="s">
        <v>61</v>
      </c>
      <c r="G7" s="16" t="s">
        <v>62</v>
      </c>
    </row>
    <row r="8" customFormat="false" ht="23.25" hidden="false" customHeight="true" outlineLevel="0" collapsed="false">
      <c r="A8" s="16"/>
      <c r="B8" s="16" t="s">
        <v>67</v>
      </c>
      <c r="C8" s="17" t="n">
        <v>39.3</v>
      </c>
      <c r="D8" s="18" t="n">
        <v>14</v>
      </c>
      <c r="E8" s="20" t="s">
        <v>68</v>
      </c>
      <c r="F8" s="16" t="s">
        <v>69</v>
      </c>
      <c r="G8" s="16" t="s">
        <v>62</v>
      </c>
    </row>
    <row r="9" customFormat="false" ht="23.25" hidden="false" customHeight="true" outlineLevel="0" collapsed="false">
      <c r="A9" s="16"/>
      <c r="B9" s="16" t="s">
        <v>70</v>
      </c>
      <c r="C9" s="17" t="n">
        <v>99.5</v>
      </c>
      <c r="D9" s="18" t="s">
        <v>71</v>
      </c>
      <c r="E9" s="16" t="s">
        <v>72</v>
      </c>
      <c r="F9" s="20" t="s">
        <v>73</v>
      </c>
      <c r="G9" s="16" t="s">
        <v>62</v>
      </c>
    </row>
    <row r="10" customFormat="false" ht="23.25" hidden="false" customHeight="true" outlineLevel="0" collapsed="false">
      <c r="A10" s="16"/>
      <c r="B10" s="16" t="s">
        <v>74</v>
      </c>
      <c r="C10" s="17" t="n">
        <v>3.29</v>
      </c>
      <c r="D10" s="18" t="n">
        <v>5.4</v>
      </c>
      <c r="E10" s="19" t="s">
        <v>75</v>
      </c>
      <c r="F10" s="16" t="s">
        <v>69</v>
      </c>
      <c r="G10" s="16" t="s">
        <v>62</v>
      </c>
    </row>
    <row r="11" customFormat="false" ht="23.25" hidden="false" customHeight="true" outlineLevel="0" collapsed="false">
      <c r="A11" s="16"/>
      <c r="B11" s="16" t="s">
        <v>76</v>
      </c>
      <c r="C11" s="17" t="n">
        <v>14.78</v>
      </c>
      <c r="D11" s="18" t="s">
        <v>77</v>
      </c>
      <c r="E11" s="16" t="s">
        <v>72</v>
      </c>
      <c r="F11" s="20" t="s">
        <v>73</v>
      </c>
      <c r="G11" s="16" t="s">
        <v>62</v>
      </c>
    </row>
    <row r="12" customFormat="false" ht="23.25" hidden="false" customHeight="true" outlineLevel="0" collapsed="false">
      <c r="A12" s="16"/>
      <c r="B12" s="16" t="s">
        <v>78</v>
      </c>
      <c r="C12" s="17" t="n">
        <v>0.05</v>
      </c>
      <c r="D12" s="18" t="s">
        <v>77</v>
      </c>
      <c r="E12" s="16" t="s">
        <v>72</v>
      </c>
      <c r="F12" s="16" t="s">
        <v>69</v>
      </c>
      <c r="G12" s="16" t="s">
        <v>62</v>
      </c>
    </row>
    <row r="13" customFormat="false" ht="23.25" hidden="false" customHeight="true" outlineLevel="0" collapsed="false">
      <c r="A13" s="16"/>
      <c r="B13" s="16" t="s">
        <v>79</v>
      </c>
      <c r="C13" s="17" t="s">
        <v>80</v>
      </c>
      <c r="D13" s="18" t="s">
        <v>77</v>
      </c>
      <c r="E13" s="20" t="s">
        <v>81</v>
      </c>
      <c r="F13" s="16" t="s">
        <v>82</v>
      </c>
      <c r="G13" s="16" t="s">
        <v>62</v>
      </c>
    </row>
    <row r="14" customFormat="false" ht="23.25" hidden="false" customHeight="true" outlineLevel="0" collapsed="false">
      <c r="A14" s="16"/>
      <c r="B14" s="16" t="s">
        <v>83</v>
      </c>
      <c r="C14" s="17" t="n">
        <v>12.8</v>
      </c>
      <c r="D14" s="18" t="n">
        <v>14</v>
      </c>
      <c r="E14" s="19" t="s">
        <v>84</v>
      </c>
      <c r="F14" s="20" t="s">
        <v>73</v>
      </c>
      <c r="G14" s="16" t="s">
        <v>62</v>
      </c>
    </row>
    <row r="15" customFormat="false" ht="23.25" hidden="false" customHeight="true" outlineLevel="0" collapsed="false">
      <c r="A15" s="16"/>
      <c r="B15" s="16" t="s">
        <v>85</v>
      </c>
      <c r="C15" s="17" t="s">
        <v>22</v>
      </c>
      <c r="D15" s="18" t="s">
        <v>15</v>
      </c>
      <c r="E15" s="20" t="s">
        <v>86</v>
      </c>
      <c r="F15" s="16" t="s">
        <v>69</v>
      </c>
      <c r="G15" s="16" t="s">
        <v>62</v>
      </c>
    </row>
    <row r="16" customFormat="false" ht="23.25" hidden="false" customHeight="true" outlineLevel="0" collapsed="false">
      <c r="A16" s="16"/>
      <c r="B16" s="16" t="s">
        <v>87</v>
      </c>
      <c r="C16" s="17" t="s">
        <v>22</v>
      </c>
      <c r="D16" s="18" t="s">
        <v>88</v>
      </c>
      <c r="E16" s="20" t="s">
        <v>81</v>
      </c>
      <c r="F16" s="20" t="s">
        <v>73</v>
      </c>
      <c r="G16" s="16" t="s">
        <v>62</v>
      </c>
    </row>
    <row r="17" customFormat="false" ht="23.25" hidden="false" customHeight="true" outlineLevel="0" collapsed="false">
      <c r="A17" s="16"/>
      <c r="B17" s="16" t="s">
        <v>89</v>
      </c>
      <c r="C17" s="17" t="s">
        <v>15</v>
      </c>
      <c r="D17" s="18" t="s">
        <v>15</v>
      </c>
      <c r="E17" s="19" t="s">
        <v>90</v>
      </c>
      <c r="F17" s="16" t="s">
        <v>69</v>
      </c>
      <c r="G17" s="16" t="s">
        <v>62</v>
      </c>
    </row>
    <row r="18" customFormat="false" ht="23.25" hidden="false" customHeight="true" outlineLevel="0" collapsed="false">
      <c r="A18" s="16"/>
      <c r="B18" s="16" t="s">
        <v>91</v>
      </c>
      <c r="C18" s="17" t="s">
        <v>15</v>
      </c>
      <c r="D18" s="18" t="s">
        <v>15</v>
      </c>
      <c r="E18" s="19" t="s">
        <v>90</v>
      </c>
      <c r="F18" s="19" t="s">
        <v>65</v>
      </c>
      <c r="G18" s="16" t="s">
        <v>62</v>
      </c>
    </row>
    <row r="19" customFormat="false" ht="23.25" hidden="false" customHeight="true" outlineLevel="0" collapsed="false">
      <c r="A19" s="16"/>
      <c r="B19" s="16" t="s">
        <v>92</v>
      </c>
      <c r="C19" s="17" t="s">
        <v>93</v>
      </c>
      <c r="D19" s="18" t="s">
        <v>94</v>
      </c>
      <c r="E19" s="19" t="s">
        <v>90</v>
      </c>
      <c r="F19" s="16" t="s">
        <v>69</v>
      </c>
      <c r="G19" s="16" t="s">
        <v>62</v>
      </c>
    </row>
    <row r="20" customFormat="false" ht="23.25" hidden="false" customHeight="true" outlineLevel="0" collapsed="false">
      <c r="A20" s="16"/>
      <c r="B20" s="16" t="s">
        <v>95</v>
      </c>
      <c r="C20" s="17" t="n">
        <v>777</v>
      </c>
      <c r="D20" s="18" t="n">
        <v>5000</v>
      </c>
      <c r="E20" s="20" t="s">
        <v>96</v>
      </c>
      <c r="F20" s="20" t="s">
        <v>73</v>
      </c>
      <c r="G20" s="16" t="s">
        <v>62</v>
      </c>
    </row>
    <row r="21" customFormat="false" ht="45.75" hidden="false" customHeight="true" outlineLevel="0" collapsed="false">
      <c r="A21" s="16"/>
      <c r="B21" s="16" t="s">
        <v>97</v>
      </c>
      <c r="C21" s="17" t="s">
        <v>98</v>
      </c>
      <c r="D21" s="18" t="s">
        <v>99</v>
      </c>
      <c r="E21" s="20" t="s">
        <v>81</v>
      </c>
      <c r="F21" s="20" t="s">
        <v>100</v>
      </c>
      <c r="G21" s="16" t="s">
        <v>62</v>
      </c>
    </row>
    <row r="22" customFormat="false" ht="23.25" hidden="false" customHeight="true" outlineLevel="0" collapsed="false">
      <c r="A22" s="16"/>
      <c r="B22" s="16" t="s">
        <v>101</v>
      </c>
      <c r="C22" s="17" t="n">
        <v>2</v>
      </c>
      <c r="D22" s="18" t="n">
        <v>1</v>
      </c>
      <c r="E22" s="19" t="s">
        <v>102</v>
      </c>
      <c r="F22" s="19" t="s">
        <v>61</v>
      </c>
      <c r="G22" s="16" t="s">
        <v>62</v>
      </c>
    </row>
    <row r="24" customFormat="false" ht="15" hidden="false" customHeight="true" outlineLevel="0" collapsed="false">
      <c r="A24" s="15" t="s">
        <v>16</v>
      </c>
      <c r="B24" s="16" t="s">
        <v>59</v>
      </c>
      <c r="C24" s="17" t="n">
        <v>180.16</v>
      </c>
      <c r="D24" s="18" t="n">
        <v>180.16</v>
      </c>
      <c r="E24" s="19" t="s">
        <v>60</v>
      </c>
      <c r="F24" s="19" t="s">
        <v>61</v>
      </c>
      <c r="G24" s="16" t="s">
        <v>103</v>
      </c>
    </row>
    <row r="25" customFormat="false" ht="15" hidden="false" customHeight="true" outlineLevel="0" collapsed="false">
      <c r="A25" s="16"/>
      <c r="B25" s="16" t="s">
        <v>63</v>
      </c>
      <c r="C25" s="17" t="n">
        <v>1.31</v>
      </c>
      <c r="D25" s="18" t="n">
        <v>1.19</v>
      </c>
      <c r="E25" s="19" t="s">
        <v>104</v>
      </c>
      <c r="F25" s="19" t="s">
        <v>65</v>
      </c>
      <c r="G25" s="16" t="s">
        <v>103</v>
      </c>
    </row>
    <row r="26" customFormat="false" ht="15" hidden="false" customHeight="true" outlineLevel="0" collapsed="false">
      <c r="A26" s="16"/>
      <c r="B26" s="16" t="s">
        <v>66</v>
      </c>
      <c r="C26" s="17" t="n">
        <v>63.6</v>
      </c>
      <c r="D26" s="18" t="n">
        <v>63.6</v>
      </c>
      <c r="E26" s="19" t="s">
        <v>60</v>
      </c>
      <c r="F26" s="19" t="s">
        <v>61</v>
      </c>
      <c r="G26" s="16" t="s">
        <v>103</v>
      </c>
    </row>
    <row r="27" customFormat="false" ht="15" hidden="false" customHeight="true" outlineLevel="0" collapsed="false">
      <c r="A27" s="16"/>
      <c r="B27" s="16" t="s">
        <v>67</v>
      </c>
      <c r="C27" s="17" t="n">
        <v>76.8</v>
      </c>
      <c r="D27" s="18" t="n">
        <v>68</v>
      </c>
      <c r="E27" s="19" t="s">
        <v>105</v>
      </c>
      <c r="F27" s="16" t="s">
        <v>69</v>
      </c>
      <c r="G27" s="16" t="s">
        <v>103</v>
      </c>
    </row>
    <row r="28" customFormat="false" ht="15" hidden="false" customHeight="true" outlineLevel="0" collapsed="false">
      <c r="A28" s="16"/>
      <c r="B28" s="16" t="s">
        <v>70</v>
      </c>
      <c r="C28" s="17" t="n">
        <v>71.7</v>
      </c>
      <c r="D28" s="18" t="s">
        <v>106</v>
      </c>
      <c r="E28" s="19" t="s">
        <v>107</v>
      </c>
      <c r="F28" s="16" t="s">
        <v>69</v>
      </c>
      <c r="G28" s="16" t="s">
        <v>103</v>
      </c>
    </row>
    <row r="29" customFormat="false" ht="15" hidden="false" customHeight="true" outlineLevel="0" collapsed="false">
      <c r="A29" s="16"/>
      <c r="B29" s="16" t="s">
        <v>74</v>
      </c>
      <c r="C29" s="17" t="n">
        <v>0.31</v>
      </c>
      <c r="D29" s="18" t="n">
        <v>0.15</v>
      </c>
      <c r="E29" s="20" t="s">
        <v>108</v>
      </c>
      <c r="F29" s="16" t="s">
        <v>69</v>
      </c>
      <c r="G29" s="16" t="s">
        <v>103</v>
      </c>
    </row>
    <row r="30" customFormat="false" ht="15" hidden="false" customHeight="true" outlineLevel="0" collapsed="false">
      <c r="A30" s="16"/>
      <c r="B30" s="16" t="s">
        <v>76</v>
      </c>
      <c r="C30" s="17" t="n">
        <v>2.97</v>
      </c>
      <c r="D30" s="18" t="s">
        <v>77</v>
      </c>
      <c r="E30" s="16" t="s">
        <v>72</v>
      </c>
      <c r="F30" s="20" t="s">
        <v>73</v>
      </c>
      <c r="G30" s="16" t="s">
        <v>103</v>
      </c>
    </row>
    <row r="31" customFormat="false" ht="15" hidden="false" customHeight="true" outlineLevel="0" collapsed="false">
      <c r="A31" s="16"/>
      <c r="B31" s="16" t="s">
        <v>78</v>
      </c>
      <c r="C31" s="17" t="n">
        <v>2.01</v>
      </c>
      <c r="D31" s="18" t="s">
        <v>77</v>
      </c>
      <c r="E31" s="16" t="s">
        <v>72</v>
      </c>
      <c r="F31" s="16" t="s">
        <v>69</v>
      </c>
      <c r="G31" s="16" t="s">
        <v>103</v>
      </c>
    </row>
    <row r="32" customFormat="false" ht="15" hidden="false" customHeight="true" outlineLevel="0" collapsed="false">
      <c r="A32" s="16"/>
      <c r="B32" s="16" t="s">
        <v>79</v>
      </c>
      <c r="C32" s="17" t="s">
        <v>109</v>
      </c>
      <c r="D32" s="18" t="s">
        <v>77</v>
      </c>
      <c r="E32" s="20" t="s">
        <v>81</v>
      </c>
      <c r="F32" s="16" t="s">
        <v>82</v>
      </c>
      <c r="G32" s="16" t="s">
        <v>103</v>
      </c>
    </row>
    <row r="33" customFormat="false" ht="15" hidden="false" customHeight="true" outlineLevel="0" collapsed="false">
      <c r="A33" s="16"/>
      <c r="B33" s="16" t="s">
        <v>83</v>
      </c>
      <c r="C33" s="17" t="n">
        <v>0.7</v>
      </c>
      <c r="D33" s="18" t="n">
        <v>0.3</v>
      </c>
      <c r="E33" s="20" t="s">
        <v>110</v>
      </c>
      <c r="F33" s="16" t="s">
        <v>69</v>
      </c>
      <c r="G33" s="16" t="s">
        <v>103</v>
      </c>
    </row>
    <row r="34" customFormat="false" ht="15" hidden="false" customHeight="true" outlineLevel="0" collapsed="false">
      <c r="A34" s="16"/>
      <c r="B34" s="16" t="s">
        <v>85</v>
      </c>
      <c r="C34" s="17" t="s">
        <v>15</v>
      </c>
      <c r="D34" s="18" t="s">
        <v>22</v>
      </c>
      <c r="E34" s="20" t="s">
        <v>86</v>
      </c>
      <c r="F34" s="16" t="s">
        <v>69</v>
      </c>
      <c r="G34" s="16" t="s">
        <v>103</v>
      </c>
    </row>
    <row r="35" customFormat="false" ht="15" hidden="false" customHeight="true" outlineLevel="0" collapsed="false">
      <c r="A35" s="16"/>
      <c r="B35" s="16" t="s">
        <v>87</v>
      </c>
      <c r="C35" s="17" t="s">
        <v>15</v>
      </c>
      <c r="D35" s="18" t="s">
        <v>111</v>
      </c>
      <c r="E35" s="19" t="s">
        <v>90</v>
      </c>
      <c r="F35" s="20" t="s">
        <v>73</v>
      </c>
      <c r="G35" s="16" t="s">
        <v>103</v>
      </c>
    </row>
    <row r="36" customFormat="false" ht="15" hidden="false" customHeight="true" outlineLevel="0" collapsed="false">
      <c r="A36" s="16"/>
      <c r="B36" s="16" t="s">
        <v>89</v>
      </c>
      <c r="C36" s="17" t="s">
        <v>15</v>
      </c>
      <c r="D36" s="18" t="s">
        <v>15</v>
      </c>
      <c r="E36" s="19" t="s">
        <v>90</v>
      </c>
      <c r="F36" s="16" t="s">
        <v>69</v>
      </c>
      <c r="G36" s="16" t="s">
        <v>103</v>
      </c>
    </row>
    <row r="37" customFormat="false" ht="15" hidden="false" customHeight="true" outlineLevel="0" collapsed="false">
      <c r="A37" s="16"/>
      <c r="B37" s="16" t="s">
        <v>91</v>
      </c>
      <c r="C37" s="17" t="s">
        <v>15</v>
      </c>
      <c r="D37" s="18" t="s">
        <v>15</v>
      </c>
      <c r="E37" s="19" t="s">
        <v>90</v>
      </c>
      <c r="F37" s="19" t="s">
        <v>65</v>
      </c>
      <c r="G37" s="16" t="s">
        <v>103</v>
      </c>
    </row>
    <row r="38" customFormat="false" ht="15" hidden="false" customHeight="true" outlineLevel="0" collapsed="false">
      <c r="A38" s="16"/>
      <c r="B38" s="16" t="s">
        <v>92</v>
      </c>
      <c r="C38" s="17" t="s">
        <v>73</v>
      </c>
      <c r="D38" s="18" t="s">
        <v>112</v>
      </c>
      <c r="E38" s="19" t="s">
        <v>90</v>
      </c>
      <c r="F38" s="16" t="s">
        <v>69</v>
      </c>
      <c r="G38" s="16" t="s">
        <v>103</v>
      </c>
    </row>
    <row r="39" customFormat="false" ht="15" hidden="false" customHeight="true" outlineLevel="0" collapsed="false">
      <c r="A39" s="16"/>
      <c r="B39" s="16" t="s">
        <v>95</v>
      </c>
      <c r="C39" s="17" t="n">
        <v>937</v>
      </c>
      <c r="D39" s="18" t="n">
        <v>200</v>
      </c>
      <c r="E39" s="20" t="s">
        <v>113</v>
      </c>
      <c r="F39" s="20" t="s">
        <v>73</v>
      </c>
      <c r="G39" s="16" t="s">
        <v>103</v>
      </c>
    </row>
    <row r="40" customFormat="false" ht="45.75" hidden="false" customHeight="true" outlineLevel="0" collapsed="false">
      <c r="A40" s="16"/>
      <c r="B40" s="16" t="s">
        <v>97</v>
      </c>
      <c r="C40" s="17" t="s">
        <v>114</v>
      </c>
      <c r="D40" s="18" t="s">
        <v>99</v>
      </c>
      <c r="E40" s="20" t="s">
        <v>81</v>
      </c>
      <c r="F40" s="20" t="s">
        <v>100</v>
      </c>
      <c r="G40" s="16" t="s">
        <v>103</v>
      </c>
    </row>
    <row r="41" customFormat="false" ht="15" hidden="false" customHeight="true" outlineLevel="0" collapsed="false">
      <c r="A41" s="16"/>
      <c r="B41" s="16" t="s">
        <v>101</v>
      </c>
      <c r="C41" s="17" t="n">
        <v>0</v>
      </c>
      <c r="D41" s="18" t="n">
        <v>0</v>
      </c>
      <c r="E41" s="19" t="s">
        <v>60</v>
      </c>
      <c r="F41" s="19" t="s">
        <v>61</v>
      </c>
      <c r="G41" s="16" t="s">
        <v>103</v>
      </c>
    </row>
    <row r="43" customFormat="false" ht="15" hidden="false" customHeight="true" outlineLevel="0" collapsed="false">
      <c r="A43" s="15" t="s">
        <v>17</v>
      </c>
      <c r="B43" s="16" t="s">
        <v>59</v>
      </c>
      <c r="C43" s="17" t="n">
        <v>206.28</v>
      </c>
      <c r="D43" s="18" t="n">
        <v>206.28</v>
      </c>
      <c r="E43" s="19" t="s">
        <v>60</v>
      </c>
      <c r="F43" s="19" t="s">
        <v>61</v>
      </c>
      <c r="G43" s="16" t="s">
        <v>115</v>
      </c>
    </row>
    <row r="44" customFormat="false" ht="15" hidden="false" customHeight="true" outlineLevel="0" collapsed="false">
      <c r="A44" s="16"/>
      <c r="B44" s="16" t="s">
        <v>63</v>
      </c>
      <c r="C44" s="17" t="n">
        <v>3.07</v>
      </c>
      <c r="D44" s="18" t="n">
        <v>3.97</v>
      </c>
      <c r="E44" s="19" t="s">
        <v>116</v>
      </c>
      <c r="F44" s="19" t="s">
        <v>65</v>
      </c>
      <c r="G44" s="16" t="s">
        <v>115</v>
      </c>
    </row>
    <row r="45" customFormat="false" ht="15" hidden="false" customHeight="true" outlineLevel="0" collapsed="false">
      <c r="A45" s="16"/>
      <c r="B45" s="16" t="s">
        <v>66</v>
      </c>
      <c r="C45" s="17" t="n">
        <v>37.3</v>
      </c>
      <c r="D45" s="18" t="n">
        <v>37.3</v>
      </c>
      <c r="E45" s="19" t="s">
        <v>60</v>
      </c>
      <c r="F45" s="19" t="s">
        <v>61</v>
      </c>
      <c r="G45" s="16" t="s">
        <v>115</v>
      </c>
    </row>
    <row r="46" customFormat="false" ht="15" hidden="false" customHeight="true" outlineLevel="0" collapsed="false">
      <c r="A46" s="16"/>
      <c r="B46" s="16" t="s">
        <v>67</v>
      </c>
      <c r="C46" s="17" t="n">
        <v>89</v>
      </c>
      <c r="D46" s="18" t="n">
        <v>95</v>
      </c>
      <c r="E46" s="19" t="s">
        <v>117</v>
      </c>
      <c r="F46" s="16" t="s">
        <v>69</v>
      </c>
      <c r="G46" s="16" t="s">
        <v>115</v>
      </c>
    </row>
    <row r="47" customFormat="false" ht="15" hidden="false" customHeight="true" outlineLevel="0" collapsed="false">
      <c r="A47" s="16"/>
      <c r="B47" s="16" t="s">
        <v>70</v>
      </c>
      <c r="C47" s="17" t="n">
        <v>94.9</v>
      </c>
      <c r="D47" s="18" t="n">
        <v>99</v>
      </c>
      <c r="E47" s="19" t="s">
        <v>118</v>
      </c>
      <c r="F47" s="16" t="s">
        <v>69</v>
      </c>
      <c r="G47" s="16" t="s">
        <v>115</v>
      </c>
    </row>
    <row r="48" customFormat="false" ht="15" hidden="false" customHeight="true" outlineLevel="0" collapsed="false">
      <c r="A48" s="16"/>
      <c r="B48" s="16" t="s">
        <v>74</v>
      </c>
      <c r="C48" s="17" t="n">
        <v>0.28</v>
      </c>
      <c r="D48" s="18" t="n">
        <v>0.15</v>
      </c>
      <c r="E48" s="20" t="s">
        <v>119</v>
      </c>
      <c r="F48" s="16" t="s">
        <v>69</v>
      </c>
      <c r="G48" s="16" t="s">
        <v>115</v>
      </c>
    </row>
    <row r="49" customFormat="false" ht="15" hidden="false" customHeight="true" outlineLevel="0" collapsed="false">
      <c r="A49" s="16"/>
      <c r="B49" s="16" t="s">
        <v>76</v>
      </c>
      <c r="C49" s="17" t="n">
        <v>4.15</v>
      </c>
      <c r="D49" s="18" t="s">
        <v>77</v>
      </c>
      <c r="E49" s="16" t="s">
        <v>72</v>
      </c>
      <c r="F49" s="20" t="s">
        <v>73</v>
      </c>
      <c r="G49" s="16" t="s">
        <v>115</v>
      </c>
    </row>
    <row r="50" customFormat="false" ht="15" hidden="false" customHeight="true" outlineLevel="0" collapsed="false">
      <c r="A50" s="16"/>
      <c r="B50" s="16" t="s">
        <v>78</v>
      </c>
      <c r="C50" s="17" t="n">
        <v>0.09</v>
      </c>
      <c r="D50" s="18" t="s">
        <v>77</v>
      </c>
      <c r="E50" s="16" t="s">
        <v>72</v>
      </c>
      <c r="F50" s="16" t="s">
        <v>69</v>
      </c>
      <c r="G50" s="16" t="s">
        <v>115</v>
      </c>
    </row>
    <row r="51" customFormat="false" ht="15" hidden="false" customHeight="true" outlineLevel="0" collapsed="false">
      <c r="A51" s="16"/>
      <c r="B51" s="16" t="s">
        <v>79</v>
      </c>
      <c r="C51" s="17" t="s">
        <v>80</v>
      </c>
      <c r="D51" s="18" t="s">
        <v>77</v>
      </c>
      <c r="E51" s="20" t="s">
        <v>81</v>
      </c>
      <c r="F51" s="16" t="s">
        <v>82</v>
      </c>
      <c r="G51" s="16" t="s">
        <v>115</v>
      </c>
    </row>
    <row r="52" customFormat="false" ht="15" hidden="false" customHeight="true" outlineLevel="0" collapsed="false">
      <c r="A52" s="16"/>
      <c r="B52" s="16" t="s">
        <v>83</v>
      </c>
      <c r="C52" s="17" t="n">
        <v>0.8</v>
      </c>
      <c r="D52" s="18" t="n">
        <v>2</v>
      </c>
      <c r="E52" s="20" t="s">
        <v>120</v>
      </c>
      <c r="F52" s="16" t="s">
        <v>69</v>
      </c>
      <c r="G52" s="16" t="s">
        <v>115</v>
      </c>
    </row>
    <row r="53" customFormat="false" ht="15" hidden="false" customHeight="true" outlineLevel="0" collapsed="false">
      <c r="A53" s="16"/>
      <c r="B53" s="16" t="s">
        <v>85</v>
      </c>
      <c r="C53" s="17" t="s">
        <v>22</v>
      </c>
      <c r="D53" s="18" t="s">
        <v>15</v>
      </c>
      <c r="E53" s="20" t="s">
        <v>86</v>
      </c>
      <c r="F53" s="16" t="s">
        <v>69</v>
      </c>
      <c r="G53" s="16" t="s">
        <v>115</v>
      </c>
    </row>
    <row r="54" customFormat="false" ht="15" hidden="false" customHeight="true" outlineLevel="0" collapsed="false">
      <c r="A54" s="16"/>
      <c r="B54" s="16" t="s">
        <v>87</v>
      </c>
      <c r="C54" s="17" t="s">
        <v>15</v>
      </c>
      <c r="D54" s="18" t="s">
        <v>121</v>
      </c>
      <c r="E54" s="19" t="s">
        <v>90</v>
      </c>
      <c r="F54" s="20" t="s">
        <v>73</v>
      </c>
      <c r="G54" s="16" t="s">
        <v>115</v>
      </c>
    </row>
    <row r="55" customFormat="false" ht="15" hidden="false" customHeight="true" outlineLevel="0" collapsed="false">
      <c r="A55" s="16"/>
      <c r="B55" s="16" t="s">
        <v>89</v>
      </c>
      <c r="C55" s="17" t="s">
        <v>15</v>
      </c>
      <c r="D55" s="18" t="s">
        <v>15</v>
      </c>
      <c r="E55" s="19" t="s">
        <v>90</v>
      </c>
      <c r="F55" s="16" t="s">
        <v>69</v>
      </c>
      <c r="G55" s="16" t="s">
        <v>115</v>
      </c>
    </row>
    <row r="56" customFormat="false" ht="15" hidden="false" customHeight="true" outlineLevel="0" collapsed="false">
      <c r="A56" s="16"/>
      <c r="B56" s="16" t="s">
        <v>91</v>
      </c>
      <c r="C56" s="17" t="s">
        <v>15</v>
      </c>
      <c r="D56" s="18" t="s">
        <v>15</v>
      </c>
      <c r="E56" s="19" t="s">
        <v>90</v>
      </c>
      <c r="F56" s="19" t="s">
        <v>65</v>
      </c>
      <c r="G56" s="16" t="s">
        <v>115</v>
      </c>
    </row>
    <row r="57" customFormat="false" ht="15" hidden="false" customHeight="true" outlineLevel="0" collapsed="false">
      <c r="A57" s="16"/>
      <c r="B57" s="16" t="s">
        <v>92</v>
      </c>
      <c r="C57" s="17" t="s">
        <v>73</v>
      </c>
      <c r="D57" s="18" t="s">
        <v>73</v>
      </c>
      <c r="E57" s="19" t="s">
        <v>90</v>
      </c>
      <c r="F57" s="16" t="s">
        <v>69</v>
      </c>
      <c r="G57" s="16" t="s">
        <v>115</v>
      </c>
    </row>
    <row r="58" customFormat="false" ht="15" hidden="false" customHeight="true" outlineLevel="0" collapsed="false">
      <c r="A58" s="16"/>
      <c r="B58" s="16" t="s">
        <v>95</v>
      </c>
      <c r="C58" s="17" t="n">
        <v>1070</v>
      </c>
      <c r="D58" s="18" t="n">
        <v>636</v>
      </c>
      <c r="E58" s="20" t="s">
        <v>122</v>
      </c>
      <c r="F58" s="20" t="s">
        <v>73</v>
      </c>
      <c r="G58" s="16" t="s">
        <v>115</v>
      </c>
    </row>
    <row r="59" customFormat="false" ht="45.75" hidden="false" customHeight="true" outlineLevel="0" collapsed="false">
      <c r="A59" s="16"/>
      <c r="B59" s="16" t="s">
        <v>97</v>
      </c>
      <c r="C59" s="17" t="s">
        <v>123</v>
      </c>
      <c r="D59" s="18" t="s">
        <v>99</v>
      </c>
      <c r="E59" s="20" t="s">
        <v>81</v>
      </c>
      <c r="F59" s="20" t="s">
        <v>100</v>
      </c>
      <c r="G59" s="16" t="s">
        <v>115</v>
      </c>
    </row>
    <row r="60" customFormat="false" ht="15" hidden="false" customHeight="true" outlineLevel="0" collapsed="false">
      <c r="A60" s="16"/>
      <c r="B60" s="16" t="s">
        <v>101</v>
      </c>
      <c r="C60" s="17" t="n">
        <v>0</v>
      </c>
      <c r="D60" s="18" t="n">
        <v>0</v>
      </c>
      <c r="E60" s="19" t="s">
        <v>60</v>
      </c>
      <c r="F60" s="19" t="s">
        <v>61</v>
      </c>
      <c r="G60" s="16" t="s">
        <v>115</v>
      </c>
    </row>
    <row r="62" customFormat="false" ht="23.25" hidden="false" customHeight="true" outlineLevel="0" collapsed="false">
      <c r="A62" s="15" t="s">
        <v>18</v>
      </c>
      <c r="B62" s="16" t="s">
        <v>59</v>
      </c>
      <c r="C62" s="17" t="n">
        <v>129.17</v>
      </c>
      <c r="D62" s="18" t="n">
        <v>129.16</v>
      </c>
      <c r="E62" s="19" t="s">
        <v>124</v>
      </c>
      <c r="F62" s="19" t="s">
        <v>61</v>
      </c>
      <c r="G62" s="16" t="s">
        <v>125</v>
      </c>
    </row>
    <row r="63" customFormat="false" ht="23.25" hidden="false" customHeight="true" outlineLevel="0" collapsed="false">
      <c r="A63" s="16"/>
      <c r="B63" s="16" t="s">
        <v>63</v>
      </c>
      <c r="C63" s="17" t="n">
        <v>-1.03</v>
      </c>
      <c r="D63" s="18" t="n">
        <v>-1.43</v>
      </c>
      <c r="E63" s="19" t="s">
        <v>126</v>
      </c>
      <c r="F63" s="19" t="s">
        <v>65</v>
      </c>
      <c r="G63" s="16" t="s">
        <v>125</v>
      </c>
    </row>
    <row r="64" customFormat="false" ht="23.25" hidden="false" customHeight="true" outlineLevel="0" collapsed="false">
      <c r="A64" s="16"/>
      <c r="B64" s="16" t="s">
        <v>66</v>
      </c>
      <c r="C64" s="17" t="n">
        <v>88.99</v>
      </c>
      <c r="D64" s="18" t="n">
        <v>91.5</v>
      </c>
      <c r="E64" s="19" t="s">
        <v>127</v>
      </c>
      <c r="F64" s="19" t="s">
        <v>61</v>
      </c>
      <c r="G64" s="16" t="s">
        <v>125</v>
      </c>
    </row>
    <row r="65" customFormat="false" ht="23.25" hidden="false" customHeight="true" outlineLevel="0" collapsed="false">
      <c r="A65" s="16"/>
      <c r="B65" s="16" t="s">
        <v>67</v>
      </c>
      <c r="C65" s="17" t="n">
        <v>52.5</v>
      </c>
      <c r="D65" s="18" t="n">
        <v>55</v>
      </c>
      <c r="E65" s="19" t="s">
        <v>128</v>
      </c>
      <c r="F65" s="16" t="s">
        <v>69</v>
      </c>
      <c r="G65" s="16" t="s">
        <v>125</v>
      </c>
    </row>
    <row r="66" customFormat="false" ht="23.25" hidden="false" customHeight="true" outlineLevel="0" collapsed="false">
      <c r="A66" s="16"/>
      <c r="B66" s="16" t="s">
        <v>70</v>
      </c>
      <c r="C66" s="17" t="n">
        <v>5</v>
      </c>
      <c r="D66" s="18" t="s">
        <v>129</v>
      </c>
      <c r="E66" s="16" t="s">
        <v>72</v>
      </c>
      <c r="F66" s="16" t="s">
        <v>69</v>
      </c>
      <c r="G66" s="16" t="s">
        <v>125</v>
      </c>
    </row>
    <row r="67" customFormat="false" ht="23.25" hidden="false" customHeight="true" outlineLevel="0" collapsed="false">
      <c r="A67" s="16"/>
      <c r="B67" s="16" t="s">
        <v>74</v>
      </c>
      <c r="C67" s="17" t="n">
        <v>2.97</v>
      </c>
      <c r="D67" s="18" t="n">
        <v>9.3</v>
      </c>
      <c r="E67" s="20" t="s">
        <v>130</v>
      </c>
      <c r="F67" s="16" t="s">
        <v>69</v>
      </c>
      <c r="G67" s="16" t="s">
        <v>125</v>
      </c>
    </row>
    <row r="68" customFormat="false" ht="23.25" hidden="false" customHeight="true" outlineLevel="0" collapsed="false">
      <c r="A68" s="16"/>
      <c r="B68" s="16" t="s">
        <v>76</v>
      </c>
      <c r="C68" s="17" t="n">
        <v>1.39</v>
      </c>
      <c r="D68" s="18" t="s">
        <v>77</v>
      </c>
      <c r="E68" s="16" t="s">
        <v>72</v>
      </c>
      <c r="F68" s="20" t="s">
        <v>73</v>
      </c>
      <c r="G68" s="16" t="s">
        <v>125</v>
      </c>
    </row>
    <row r="69" customFormat="false" ht="23.25" hidden="false" customHeight="true" outlineLevel="0" collapsed="false">
      <c r="A69" s="16"/>
      <c r="B69" s="16" t="s">
        <v>78</v>
      </c>
      <c r="C69" s="17" t="n">
        <v>9.71</v>
      </c>
      <c r="D69" s="18" t="s">
        <v>77</v>
      </c>
      <c r="E69" s="16" t="s">
        <v>72</v>
      </c>
      <c r="F69" s="16" t="s">
        <v>69</v>
      </c>
      <c r="G69" s="16" t="s">
        <v>125</v>
      </c>
    </row>
    <row r="70" customFormat="false" ht="23.25" hidden="false" customHeight="true" outlineLevel="0" collapsed="false">
      <c r="A70" s="16"/>
      <c r="B70" s="16" t="s">
        <v>79</v>
      </c>
      <c r="C70" s="17" t="s">
        <v>131</v>
      </c>
      <c r="D70" s="18" t="s">
        <v>77</v>
      </c>
      <c r="E70" s="20" t="s">
        <v>81</v>
      </c>
      <c r="F70" s="16" t="s">
        <v>82</v>
      </c>
      <c r="G70" s="16" t="s">
        <v>125</v>
      </c>
    </row>
    <row r="71" customFormat="false" ht="23.25" hidden="false" customHeight="true" outlineLevel="0" collapsed="false">
      <c r="A71" s="16"/>
      <c r="B71" s="16" t="s">
        <v>83</v>
      </c>
      <c r="C71" s="17" t="n">
        <v>3.1</v>
      </c>
      <c r="D71" s="18" t="n">
        <v>6.2</v>
      </c>
      <c r="E71" s="19" t="s">
        <v>132</v>
      </c>
      <c r="F71" s="16" t="s">
        <v>69</v>
      </c>
      <c r="G71" s="16" t="s">
        <v>125</v>
      </c>
    </row>
    <row r="72" customFormat="false" ht="23.25" hidden="false" customHeight="true" outlineLevel="0" collapsed="false">
      <c r="A72" s="16"/>
      <c r="B72" s="16" t="s">
        <v>85</v>
      </c>
      <c r="C72" s="17" t="s">
        <v>15</v>
      </c>
      <c r="D72" s="18" t="s">
        <v>15</v>
      </c>
      <c r="E72" s="19" t="s">
        <v>90</v>
      </c>
      <c r="F72" s="16" t="s">
        <v>69</v>
      </c>
      <c r="G72" s="16" t="s">
        <v>125</v>
      </c>
    </row>
    <row r="73" customFormat="false" ht="23.25" hidden="false" customHeight="true" outlineLevel="0" collapsed="false">
      <c r="A73" s="16"/>
      <c r="B73" s="16" t="s">
        <v>87</v>
      </c>
      <c r="C73" s="17" t="s">
        <v>15</v>
      </c>
      <c r="D73" s="18" t="s">
        <v>133</v>
      </c>
      <c r="E73" s="19" t="s">
        <v>90</v>
      </c>
      <c r="F73" s="20" t="s">
        <v>73</v>
      </c>
      <c r="G73" s="16" t="s">
        <v>125</v>
      </c>
    </row>
    <row r="74" customFormat="false" ht="23.25" hidden="false" customHeight="true" outlineLevel="0" collapsed="false">
      <c r="A74" s="16"/>
      <c r="B74" s="16" t="s">
        <v>89</v>
      </c>
      <c r="C74" s="17" t="s">
        <v>15</v>
      </c>
      <c r="D74" s="18" t="s">
        <v>15</v>
      </c>
      <c r="E74" s="19" t="s">
        <v>90</v>
      </c>
      <c r="F74" s="16" t="s">
        <v>69</v>
      </c>
      <c r="G74" s="16" t="s">
        <v>125</v>
      </c>
    </row>
    <row r="75" customFormat="false" ht="23.25" hidden="false" customHeight="true" outlineLevel="0" collapsed="false">
      <c r="A75" s="16"/>
      <c r="B75" s="16" t="s">
        <v>91</v>
      </c>
      <c r="C75" s="17" t="s">
        <v>15</v>
      </c>
      <c r="D75" s="18" t="s">
        <v>15</v>
      </c>
      <c r="E75" s="19" t="s">
        <v>90</v>
      </c>
      <c r="F75" s="19" t="s">
        <v>65</v>
      </c>
      <c r="G75" s="16" t="s">
        <v>125</v>
      </c>
    </row>
    <row r="76" customFormat="false" ht="23.25" hidden="false" customHeight="true" outlineLevel="0" collapsed="false">
      <c r="A76" s="16"/>
      <c r="B76" s="16" t="s">
        <v>92</v>
      </c>
      <c r="C76" s="17" t="s">
        <v>73</v>
      </c>
      <c r="D76" s="18" t="s">
        <v>134</v>
      </c>
      <c r="E76" s="19" t="s">
        <v>90</v>
      </c>
      <c r="F76" s="16" t="s">
        <v>69</v>
      </c>
      <c r="G76" s="16" t="s">
        <v>125</v>
      </c>
    </row>
    <row r="77" customFormat="false" ht="23.25" hidden="false" customHeight="true" outlineLevel="0" collapsed="false">
      <c r="A77" s="16"/>
      <c r="B77" s="16" t="s">
        <v>95</v>
      </c>
      <c r="C77" s="17" t="n">
        <v>350</v>
      </c>
      <c r="D77" s="18" t="n">
        <v>1000</v>
      </c>
      <c r="E77" s="20" t="s">
        <v>135</v>
      </c>
      <c r="F77" s="20" t="s">
        <v>73</v>
      </c>
      <c r="G77" s="16" t="s">
        <v>125</v>
      </c>
    </row>
    <row r="78" customFormat="false" ht="45.75" hidden="false" customHeight="true" outlineLevel="0" collapsed="false">
      <c r="A78" s="16"/>
      <c r="B78" s="16" t="s">
        <v>97</v>
      </c>
      <c r="C78" s="17" t="s">
        <v>136</v>
      </c>
      <c r="D78" s="18" t="s">
        <v>99</v>
      </c>
      <c r="E78" s="20" t="s">
        <v>81</v>
      </c>
      <c r="F78" s="20" t="s">
        <v>100</v>
      </c>
      <c r="G78" s="16" t="s">
        <v>125</v>
      </c>
    </row>
    <row r="79" customFormat="false" ht="23.25" hidden="false" customHeight="true" outlineLevel="0" collapsed="false">
      <c r="A79" s="16"/>
      <c r="B79" s="16" t="s">
        <v>101</v>
      </c>
      <c r="C79" s="17" t="n">
        <v>0</v>
      </c>
      <c r="D79" s="18" t="n">
        <v>0</v>
      </c>
      <c r="E79" s="19" t="s">
        <v>60</v>
      </c>
      <c r="F79" s="19" t="s">
        <v>61</v>
      </c>
      <c r="G79" s="16" t="s">
        <v>125</v>
      </c>
    </row>
    <row r="81" customFormat="false" ht="15" hidden="false" customHeight="true" outlineLevel="0" collapsed="false">
      <c r="A81" s="15" t="s">
        <v>19</v>
      </c>
      <c r="B81" s="16" t="s">
        <v>59</v>
      </c>
      <c r="C81" s="17" t="n">
        <v>308.33</v>
      </c>
      <c r="D81" s="18" t="n">
        <v>308.33</v>
      </c>
      <c r="E81" s="19" t="s">
        <v>60</v>
      </c>
      <c r="F81" s="19" t="s">
        <v>61</v>
      </c>
      <c r="G81" s="16" t="s">
        <v>137</v>
      </c>
    </row>
    <row r="82" customFormat="false" ht="15" hidden="false" customHeight="true" outlineLevel="0" collapsed="false">
      <c r="A82" s="16"/>
      <c r="B82" s="16" t="s">
        <v>63</v>
      </c>
      <c r="C82" s="17" t="n">
        <v>3.61</v>
      </c>
      <c r="D82" s="18" t="n">
        <v>2.7</v>
      </c>
      <c r="E82" s="19" t="s">
        <v>138</v>
      </c>
      <c r="F82" s="19" t="s">
        <v>65</v>
      </c>
      <c r="G82" s="16" t="s">
        <v>137</v>
      </c>
    </row>
    <row r="83" customFormat="false" ht="15" hidden="false" customHeight="true" outlineLevel="0" collapsed="false">
      <c r="A83" s="16"/>
      <c r="B83" s="16" t="s">
        <v>66</v>
      </c>
      <c r="C83" s="17" t="n">
        <v>67.51</v>
      </c>
      <c r="D83" s="18" t="n">
        <v>67.5</v>
      </c>
      <c r="E83" s="19" t="s">
        <v>124</v>
      </c>
      <c r="F83" s="19" t="s">
        <v>61</v>
      </c>
      <c r="G83" s="16" t="s">
        <v>137</v>
      </c>
    </row>
    <row r="84" customFormat="false" ht="15" hidden="false" customHeight="true" outlineLevel="0" collapsed="false">
      <c r="A84" s="16"/>
      <c r="B84" s="16" t="s">
        <v>67</v>
      </c>
      <c r="C84" s="17" t="n">
        <v>89.9</v>
      </c>
      <c r="D84" s="18" t="n">
        <v>99</v>
      </c>
      <c r="E84" s="19" t="s">
        <v>139</v>
      </c>
      <c r="F84" s="16" t="s">
        <v>69</v>
      </c>
      <c r="G84" s="16" t="s">
        <v>137</v>
      </c>
    </row>
    <row r="85" customFormat="false" ht="15" hidden="false" customHeight="true" outlineLevel="0" collapsed="false">
      <c r="A85" s="16"/>
      <c r="B85" s="16" t="s">
        <v>70</v>
      </c>
      <c r="C85" s="17" t="n">
        <v>99.5</v>
      </c>
      <c r="D85" s="18" t="n">
        <v>97</v>
      </c>
      <c r="E85" s="19" t="s">
        <v>140</v>
      </c>
      <c r="F85" s="16" t="s">
        <v>69</v>
      </c>
      <c r="G85" s="16" t="s">
        <v>137</v>
      </c>
    </row>
    <row r="86" customFormat="false" ht="15" hidden="false" customHeight="true" outlineLevel="0" collapsed="false">
      <c r="A86" s="16"/>
      <c r="B86" s="16" t="s">
        <v>74</v>
      </c>
      <c r="C86" s="17" t="n">
        <v>1.13</v>
      </c>
      <c r="D86" s="18" t="n">
        <v>0.14</v>
      </c>
      <c r="E86" s="20" t="s">
        <v>141</v>
      </c>
      <c r="F86" s="20" t="s">
        <v>73</v>
      </c>
      <c r="G86" s="16" t="s">
        <v>137</v>
      </c>
    </row>
    <row r="87" customFormat="false" ht="15" hidden="false" customHeight="true" outlineLevel="0" collapsed="false">
      <c r="A87" s="16"/>
      <c r="B87" s="16" t="s">
        <v>76</v>
      </c>
      <c r="C87" s="17" t="n">
        <v>5.5</v>
      </c>
      <c r="D87" s="18" t="s">
        <v>77</v>
      </c>
      <c r="E87" s="16" t="s">
        <v>72</v>
      </c>
      <c r="F87" s="20" t="s">
        <v>73</v>
      </c>
      <c r="G87" s="16" t="s">
        <v>137</v>
      </c>
    </row>
    <row r="88" customFormat="false" ht="15" hidden="false" customHeight="true" outlineLevel="0" collapsed="false">
      <c r="A88" s="16"/>
      <c r="B88" s="16" t="s">
        <v>78</v>
      </c>
      <c r="C88" s="17" t="n">
        <v>0.05</v>
      </c>
      <c r="D88" s="18" t="s">
        <v>77</v>
      </c>
      <c r="E88" s="16" t="s">
        <v>72</v>
      </c>
      <c r="F88" s="20" t="s">
        <v>73</v>
      </c>
      <c r="G88" s="16" t="s">
        <v>137</v>
      </c>
    </row>
    <row r="89" customFormat="false" ht="15" hidden="false" customHeight="true" outlineLevel="0" collapsed="false">
      <c r="A89" s="16"/>
      <c r="B89" s="16" t="s">
        <v>79</v>
      </c>
      <c r="C89" s="17" t="s">
        <v>80</v>
      </c>
      <c r="D89" s="18" t="s">
        <v>77</v>
      </c>
      <c r="E89" s="20" t="s">
        <v>81</v>
      </c>
      <c r="F89" s="16" t="s">
        <v>82</v>
      </c>
      <c r="G89" s="16" t="s">
        <v>137</v>
      </c>
    </row>
    <row r="90" customFormat="false" ht="15" hidden="false" customHeight="true" outlineLevel="0" collapsed="false">
      <c r="A90" s="16"/>
      <c r="B90" s="16" t="s">
        <v>83</v>
      </c>
      <c r="C90" s="17" t="n">
        <v>11.8</v>
      </c>
      <c r="D90" s="18" t="n">
        <v>40</v>
      </c>
      <c r="E90" s="20" t="s">
        <v>142</v>
      </c>
      <c r="F90" s="16" t="s">
        <v>69</v>
      </c>
      <c r="G90" s="16" t="s">
        <v>137</v>
      </c>
    </row>
    <row r="91" customFormat="false" ht="15" hidden="false" customHeight="true" outlineLevel="0" collapsed="false">
      <c r="A91" s="16"/>
      <c r="B91" s="16" t="s">
        <v>85</v>
      </c>
      <c r="C91" s="17" t="s">
        <v>22</v>
      </c>
      <c r="D91" s="18" t="s">
        <v>15</v>
      </c>
      <c r="E91" s="20" t="s">
        <v>86</v>
      </c>
      <c r="F91" s="16" t="s">
        <v>69</v>
      </c>
      <c r="G91" s="16" t="s">
        <v>137</v>
      </c>
    </row>
    <row r="92" customFormat="false" ht="15" hidden="false" customHeight="true" outlineLevel="0" collapsed="false">
      <c r="A92" s="16"/>
      <c r="B92" s="16" t="s">
        <v>87</v>
      </c>
      <c r="C92" s="17" t="s">
        <v>22</v>
      </c>
      <c r="D92" s="18" t="s">
        <v>143</v>
      </c>
      <c r="E92" s="20" t="s">
        <v>81</v>
      </c>
      <c r="F92" s="20" t="s">
        <v>73</v>
      </c>
      <c r="G92" s="16" t="s">
        <v>137</v>
      </c>
    </row>
    <row r="93" customFormat="false" ht="15" hidden="false" customHeight="true" outlineLevel="0" collapsed="false">
      <c r="A93" s="16"/>
      <c r="B93" s="16" t="s">
        <v>89</v>
      </c>
      <c r="C93" s="17" t="s">
        <v>15</v>
      </c>
      <c r="D93" s="18" t="s">
        <v>15</v>
      </c>
      <c r="E93" s="19" t="s">
        <v>90</v>
      </c>
      <c r="F93" s="16" t="s">
        <v>69</v>
      </c>
      <c r="G93" s="16" t="s">
        <v>137</v>
      </c>
    </row>
    <row r="94" customFormat="false" ht="15" hidden="false" customHeight="true" outlineLevel="0" collapsed="false">
      <c r="A94" s="16"/>
      <c r="B94" s="16" t="s">
        <v>91</v>
      </c>
      <c r="C94" s="17" t="s">
        <v>15</v>
      </c>
      <c r="D94" s="18" t="s">
        <v>15</v>
      </c>
      <c r="E94" s="19" t="s">
        <v>90</v>
      </c>
      <c r="F94" s="19" t="s">
        <v>65</v>
      </c>
      <c r="G94" s="16" t="s">
        <v>137</v>
      </c>
    </row>
    <row r="95" customFormat="false" ht="15" hidden="false" customHeight="true" outlineLevel="0" collapsed="false">
      <c r="A95" s="16"/>
      <c r="B95" s="16" t="s">
        <v>92</v>
      </c>
      <c r="C95" s="17" t="s">
        <v>73</v>
      </c>
      <c r="D95" s="18" t="s">
        <v>144</v>
      </c>
      <c r="E95" s="19" t="s">
        <v>90</v>
      </c>
      <c r="F95" s="16" t="s">
        <v>69</v>
      </c>
      <c r="G95" s="16" t="s">
        <v>137</v>
      </c>
    </row>
    <row r="96" customFormat="false" ht="15" hidden="false" customHeight="true" outlineLevel="0" collapsed="false">
      <c r="A96" s="16"/>
      <c r="B96" s="16" t="s">
        <v>95</v>
      </c>
      <c r="C96" s="17" t="n">
        <v>715</v>
      </c>
      <c r="D96" s="18" t="n">
        <v>1.6</v>
      </c>
      <c r="E96" s="20" t="s">
        <v>145</v>
      </c>
      <c r="F96" s="20" t="s">
        <v>73</v>
      </c>
      <c r="G96" s="16" t="s">
        <v>137</v>
      </c>
    </row>
    <row r="97" customFormat="false" ht="45.75" hidden="false" customHeight="true" outlineLevel="0" collapsed="false">
      <c r="A97" s="16"/>
      <c r="B97" s="16" t="s">
        <v>97</v>
      </c>
      <c r="C97" s="17" t="s">
        <v>146</v>
      </c>
      <c r="D97" s="18" t="s">
        <v>99</v>
      </c>
      <c r="E97" s="20" t="s">
        <v>81</v>
      </c>
      <c r="F97" s="20" t="s">
        <v>100</v>
      </c>
      <c r="G97" s="16" t="s">
        <v>137</v>
      </c>
    </row>
    <row r="98" customFormat="false" ht="15" hidden="false" customHeight="true" outlineLevel="0" collapsed="false">
      <c r="A98" s="16"/>
      <c r="B98" s="16" t="s">
        <v>101</v>
      </c>
      <c r="C98" s="17" t="n">
        <v>0</v>
      </c>
      <c r="D98" s="18" t="n">
        <v>0</v>
      </c>
      <c r="E98" s="19" t="s">
        <v>60</v>
      </c>
      <c r="F98" s="19" t="s">
        <v>61</v>
      </c>
      <c r="G98" s="16" t="s">
        <v>137</v>
      </c>
    </row>
    <row r="100" customFormat="false" ht="15" hidden="false" customHeight="true" outlineLevel="0" collapsed="false">
      <c r="A100" s="15" t="s">
        <v>20</v>
      </c>
      <c r="B100" s="16" t="s">
        <v>59</v>
      </c>
      <c r="C100" s="17" t="n">
        <v>194.19</v>
      </c>
      <c r="D100" s="18" t="n">
        <v>194.19</v>
      </c>
      <c r="E100" s="19" t="s">
        <v>60</v>
      </c>
      <c r="F100" s="19" t="s">
        <v>61</v>
      </c>
      <c r="G100" s="16" t="s">
        <v>147</v>
      </c>
    </row>
    <row r="101" customFormat="false" ht="15" hidden="false" customHeight="true" outlineLevel="0" collapsed="false">
      <c r="A101" s="16"/>
      <c r="B101" s="16" t="s">
        <v>63</v>
      </c>
      <c r="C101" s="17" t="n">
        <v>-1.03</v>
      </c>
      <c r="D101" s="18" t="n">
        <v>-0.07</v>
      </c>
      <c r="E101" s="20" t="s">
        <v>148</v>
      </c>
      <c r="F101" s="19" t="s">
        <v>65</v>
      </c>
      <c r="G101" s="16" t="s">
        <v>147</v>
      </c>
    </row>
    <row r="102" customFormat="false" ht="15" hidden="false" customHeight="true" outlineLevel="0" collapsed="false">
      <c r="A102" s="16"/>
      <c r="B102" s="16" t="s">
        <v>66</v>
      </c>
      <c r="C102" s="17" t="n">
        <v>61.82</v>
      </c>
      <c r="D102" s="18" t="n">
        <v>58.4</v>
      </c>
      <c r="E102" s="19" t="s">
        <v>149</v>
      </c>
      <c r="F102" s="19" t="s">
        <v>61</v>
      </c>
      <c r="G102" s="16" t="s">
        <v>147</v>
      </c>
    </row>
    <row r="103" customFormat="false" ht="15" hidden="false" customHeight="true" outlineLevel="0" collapsed="false">
      <c r="A103" s="16"/>
      <c r="B103" s="16" t="s">
        <v>67</v>
      </c>
      <c r="C103" s="17" t="n">
        <v>76.7</v>
      </c>
      <c r="D103" s="18" t="n">
        <v>99</v>
      </c>
      <c r="E103" s="19" t="s">
        <v>150</v>
      </c>
      <c r="F103" s="16" t="s">
        <v>69</v>
      </c>
      <c r="G103" s="16" t="s">
        <v>147</v>
      </c>
    </row>
    <row r="104" customFormat="false" ht="15" hidden="false" customHeight="true" outlineLevel="0" collapsed="false">
      <c r="A104" s="16"/>
      <c r="B104" s="16" t="s">
        <v>70</v>
      </c>
      <c r="C104" s="17" t="n">
        <v>53.6</v>
      </c>
      <c r="D104" s="18" t="n">
        <v>36</v>
      </c>
      <c r="E104" s="20" t="s">
        <v>151</v>
      </c>
      <c r="F104" s="16" t="s">
        <v>69</v>
      </c>
      <c r="G104" s="16" t="s">
        <v>147</v>
      </c>
    </row>
    <row r="105" customFormat="false" ht="15" hidden="false" customHeight="true" outlineLevel="0" collapsed="false">
      <c r="A105" s="16"/>
      <c r="B105" s="16" t="s">
        <v>74</v>
      </c>
      <c r="C105" s="17" t="n">
        <v>0.89</v>
      </c>
      <c r="D105" s="18" t="n">
        <v>0.5</v>
      </c>
      <c r="E105" s="20" t="s">
        <v>152</v>
      </c>
      <c r="F105" s="20" t="s">
        <v>73</v>
      </c>
      <c r="G105" s="16" t="s">
        <v>147</v>
      </c>
    </row>
    <row r="106" customFormat="false" ht="15" hidden="false" customHeight="true" outlineLevel="0" collapsed="false">
      <c r="A106" s="16"/>
      <c r="B106" s="16" t="s">
        <v>76</v>
      </c>
      <c r="C106" s="17" t="n">
        <v>1.83</v>
      </c>
      <c r="D106" s="18" t="s">
        <v>77</v>
      </c>
      <c r="E106" s="16" t="s">
        <v>72</v>
      </c>
      <c r="F106" s="20" t="s">
        <v>73</v>
      </c>
      <c r="G106" s="16" t="s">
        <v>147</v>
      </c>
    </row>
    <row r="107" customFormat="false" ht="15" hidden="false" customHeight="true" outlineLevel="0" collapsed="false">
      <c r="A107" s="16"/>
      <c r="B107" s="16" t="s">
        <v>78</v>
      </c>
      <c r="C107" s="17" t="n">
        <v>0.84</v>
      </c>
      <c r="D107" s="18" t="s">
        <v>77</v>
      </c>
      <c r="E107" s="16" t="s">
        <v>72</v>
      </c>
      <c r="F107" s="20" t="s">
        <v>73</v>
      </c>
      <c r="G107" s="16" t="s">
        <v>147</v>
      </c>
    </row>
    <row r="108" customFormat="false" ht="15" hidden="false" customHeight="true" outlineLevel="0" collapsed="false">
      <c r="A108" s="16"/>
      <c r="B108" s="16" t="s">
        <v>79</v>
      </c>
      <c r="C108" s="17" t="s">
        <v>109</v>
      </c>
      <c r="D108" s="18" t="s">
        <v>77</v>
      </c>
      <c r="E108" s="20" t="s">
        <v>81</v>
      </c>
      <c r="F108" s="16" t="s">
        <v>82</v>
      </c>
      <c r="G108" s="16" t="s">
        <v>147</v>
      </c>
    </row>
    <row r="109" customFormat="false" ht="15" hidden="false" customHeight="true" outlineLevel="0" collapsed="false">
      <c r="A109" s="16"/>
      <c r="B109" s="16" t="s">
        <v>83</v>
      </c>
      <c r="C109" s="17" t="n">
        <v>3.8</v>
      </c>
      <c r="D109" s="18" t="n">
        <v>5</v>
      </c>
      <c r="E109" s="19" t="s">
        <v>153</v>
      </c>
      <c r="F109" s="16" t="s">
        <v>69</v>
      </c>
      <c r="G109" s="16" t="s">
        <v>147</v>
      </c>
    </row>
    <row r="110" customFormat="false" ht="15" hidden="false" customHeight="true" outlineLevel="0" collapsed="false">
      <c r="A110" s="16"/>
      <c r="B110" s="16" t="s">
        <v>85</v>
      </c>
      <c r="C110" s="17" t="s">
        <v>15</v>
      </c>
      <c r="D110" s="18" t="s">
        <v>22</v>
      </c>
      <c r="E110" s="20" t="s">
        <v>86</v>
      </c>
      <c r="F110" s="16" t="s">
        <v>69</v>
      </c>
      <c r="G110" s="16" t="s">
        <v>147</v>
      </c>
    </row>
    <row r="111" customFormat="false" ht="15" hidden="false" customHeight="true" outlineLevel="0" collapsed="false">
      <c r="A111" s="16"/>
      <c r="B111" s="16" t="s">
        <v>87</v>
      </c>
      <c r="C111" s="17" t="s">
        <v>15</v>
      </c>
      <c r="D111" s="18" t="s">
        <v>154</v>
      </c>
      <c r="E111" s="19" t="s">
        <v>90</v>
      </c>
      <c r="F111" s="20" t="s">
        <v>73</v>
      </c>
      <c r="G111" s="16" t="s">
        <v>147</v>
      </c>
    </row>
    <row r="112" customFormat="false" ht="15" hidden="false" customHeight="true" outlineLevel="0" collapsed="false">
      <c r="A112" s="16"/>
      <c r="B112" s="16" t="s">
        <v>89</v>
      </c>
      <c r="C112" s="17" t="s">
        <v>15</v>
      </c>
      <c r="D112" s="18" t="s">
        <v>15</v>
      </c>
      <c r="E112" s="19" t="s">
        <v>90</v>
      </c>
      <c r="F112" s="16" t="s">
        <v>69</v>
      </c>
      <c r="G112" s="16" t="s">
        <v>147</v>
      </c>
    </row>
    <row r="113" customFormat="false" ht="15" hidden="false" customHeight="true" outlineLevel="0" collapsed="false">
      <c r="A113" s="16"/>
      <c r="B113" s="16" t="s">
        <v>91</v>
      </c>
      <c r="C113" s="17" t="s">
        <v>15</v>
      </c>
      <c r="D113" s="18" t="s">
        <v>15</v>
      </c>
      <c r="E113" s="19" t="s">
        <v>90</v>
      </c>
      <c r="F113" s="19" t="s">
        <v>65</v>
      </c>
      <c r="G113" s="16" t="s">
        <v>147</v>
      </c>
    </row>
    <row r="114" customFormat="false" ht="15" hidden="false" customHeight="true" outlineLevel="0" collapsed="false">
      <c r="A114" s="16"/>
      <c r="B114" s="16" t="s">
        <v>92</v>
      </c>
      <c r="C114" s="17" t="s">
        <v>73</v>
      </c>
      <c r="D114" s="18" t="s">
        <v>73</v>
      </c>
      <c r="E114" s="19" t="s">
        <v>90</v>
      </c>
      <c r="F114" s="16" t="s">
        <v>69</v>
      </c>
      <c r="G114" s="16" t="s">
        <v>147</v>
      </c>
    </row>
    <row r="115" customFormat="false" ht="15" hidden="false" customHeight="true" outlineLevel="0" collapsed="false">
      <c r="A115" s="16"/>
      <c r="B115" s="16" t="s">
        <v>95</v>
      </c>
      <c r="C115" s="17" t="n">
        <v>350</v>
      </c>
      <c r="D115" s="18" t="n">
        <v>192</v>
      </c>
      <c r="E115" s="20" t="s">
        <v>155</v>
      </c>
      <c r="F115" s="20" t="s">
        <v>73</v>
      </c>
      <c r="G115" s="16" t="s">
        <v>147</v>
      </c>
    </row>
    <row r="116" customFormat="false" ht="45.75" hidden="false" customHeight="true" outlineLevel="0" collapsed="false">
      <c r="A116" s="16"/>
      <c r="B116" s="16" t="s">
        <v>97</v>
      </c>
      <c r="C116" s="17" t="s">
        <v>156</v>
      </c>
      <c r="D116" s="18" t="s">
        <v>99</v>
      </c>
      <c r="E116" s="20" t="s">
        <v>81</v>
      </c>
      <c r="F116" s="20" t="s">
        <v>100</v>
      </c>
      <c r="G116" s="16" t="s">
        <v>147</v>
      </c>
    </row>
    <row r="117" customFormat="false" ht="15" hidden="false" customHeight="true" outlineLevel="0" collapsed="false">
      <c r="A117" s="16"/>
      <c r="B117" s="16" t="s">
        <v>101</v>
      </c>
      <c r="C117" s="17" t="n">
        <v>0</v>
      </c>
      <c r="D117" s="18" t="n">
        <v>0</v>
      </c>
      <c r="E117" s="19" t="s">
        <v>60</v>
      </c>
      <c r="F117" s="19" t="s">
        <v>61</v>
      </c>
      <c r="G117" s="16" t="s">
        <v>147</v>
      </c>
    </row>
    <row r="119" customFormat="false" ht="23.25" hidden="false" customHeight="true" outlineLevel="0" collapsed="false">
      <c r="A119" s="15" t="s">
        <v>21</v>
      </c>
      <c r="B119" s="16" t="s">
        <v>59</v>
      </c>
      <c r="C119" s="17" t="n">
        <v>493.62</v>
      </c>
      <c r="D119" s="18" t="n">
        <v>493.6</v>
      </c>
      <c r="E119" s="19" t="s">
        <v>157</v>
      </c>
      <c r="F119" s="19" t="s">
        <v>61</v>
      </c>
      <c r="G119" s="16" t="s">
        <v>158</v>
      </c>
    </row>
    <row r="120" customFormat="false" ht="23.25" hidden="false" customHeight="true" outlineLevel="0" collapsed="false">
      <c r="A120" s="16"/>
      <c r="B120" s="16" t="s">
        <v>63</v>
      </c>
      <c r="C120" s="17" t="n">
        <v>4.59</v>
      </c>
      <c r="D120" s="18" t="n">
        <v>3</v>
      </c>
      <c r="E120" s="20" t="s">
        <v>159</v>
      </c>
      <c r="F120" s="19" t="s">
        <v>65</v>
      </c>
      <c r="G120" s="16" t="s">
        <v>158</v>
      </c>
    </row>
    <row r="121" customFormat="false" ht="23.25" hidden="false" customHeight="true" outlineLevel="0" collapsed="false">
      <c r="A121" s="16"/>
      <c r="B121" s="16" t="s">
        <v>66</v>
      </c>
      <c r="C121" s="17" t="n">
        <v>86.28</v>
      </c>
      <c r="D121" s="18" t="n">
        <v>86.3</v>
      </c>
      <c r="E121" s="19" t="s">
        <v>160</v>
      </c>
      <c r="F121" s="19" t="s">
        <v>61</v>
      </c>
      <c r="G121" s="16" t="s">
        <v>158</v>
      </c>
    </row>
    <row r="122" customFormat="false" ht="23.25" hidden="false" customHeight="true" outlineLevel="0" collapsed="false">
      <c r="A122" s="16"/>
      <c r="B122" s="16" t="s">
        <v>67</v>
      </c>
      <c r="C122" s="17" t="n">
        <v>60.1</v>
      </c>
      <c r="D122" s="18" t="n">
        <v>98</v>
      </c>
      <c r="E122" s="19" t="s">
        <v>161</v>
      </c>
      <c r="F122" s="16" t="s">
        <v>69</v>
      </c>
      <c r="G122" s="16" t="s">
        <v>158</v>
      </c>
    </row>
    <row r="123" customFormat="false" ht="23.25" hidden="false" customHeight="true" outlineLevel="0" collapsed="false">
      <c r="A123" s="16"/>
      <c r="B123" s="16" t="s">
        <v>70</v>
      </c>
      <c r="C123" s="17" t="n">
        <v>92</v>
      </c>
      <c r="D123" s="18" t="n">
        <v>95</v>
      </c>
      <c r="E123" s="19" t="s">
        <v>162</v>
      </c>
      <c r="F123" s="16" t="s">
        <v>69</v>
      </c>
      <c r="G123" s="16" t="s">
        <v>158</v>
      </c>
    </row>
    <row r="124" customFormat="false" ht="23.25" hidden="false" customHeight="true" outlineLevel="0" collapsed="false">
      <c r="A124" s="16"/>
      <c r="B124" s="16" t="s">
        <v>74</v>
      </c>
      <c r="C124" s="17" t="n">
        <v>6.21</v>
      </c>
      <c r="D124" s="18" t="n">
        <v>4.5</v>
      </c>
      <c r="E124" s="19" t="s">
        <v>163</v>
      </c>
      <c r="F124" s="16" t="s">
        <v>69</v>
      </c>
      <c r="G124" s="16" t="s">
        <v>158</v>
      </c>
    </row>
    <row r="125" customFormat="false" ht="23.25" hidden="false" customHeight="true" outlineLevel="0" collapsed="false">
      <c r="A125" s="16"/>
      <c r="B125" s="16" t="s">
        <v>76</v>
      </c>
      <c r="C125" s="17" t="n">
        <v>12.27</v>
      </c>
      <c r="D125" s="18" t="s">
        <v>77</v>
      </c>
      <c r="E125" s="16" t="s">
        <v>72</v>
      </c>
      <c r="F125" s="20" t="s">
        <v>73</v>
      </c>
      <c r="G125" s="16" t="s">
        <v>158</v>
      </c>
    </row>
    <row r="126" customFormat="false" ht="23.25" hidden="false" customHeight="true" outlineLevel="0" collapsed="false">
      <c r="A126" s="16"/>
      <c r="B126" s="16" t="s">
        <v>78</v>
      </c>
      <c r="C126" s="17" t="n">
        <v>0.14</v>
      </c>
      <c r="D126" s="18" t="s">
        <v>77</v>
      </c>
      <c r="E126" s="16" t="s">
        <v>72</v>
      </c>
      <c r="F126" s="16" t="s">
        <v>69</v>
      </c>
      <c r="G126" s="16" t="s">
        <v>158</v>
      </c>
    </row>
    <row r="127" customFormat="false" ht="23.25" hidden="false" customHeight="true" outlineLevel="0" collapsed="false">
      <c r="A127" s="16"/>
      <c r="B127" s="16" t="s">
        <v>79</v>
      </c>
      <c r="C127" s="17" t="s">
        <v>80</v>
      </c>
      <c r="D127" s="18" t="s">
        <v>77</v>
      </c>
      <c r="E127" s="20" t="s">
        <v>81</v>
      </c>
      <c r="F127" s="16" t="s">
        <v>82</v>
      </c>
      <c r="G127" s="16" t="s">
        <v>158</v>
      </c>
    </row>
    <row r="128" customFormat="false" ht="23.25" hidden="false" customHeight="true" outlineLevel="0" collapsed="false">
      <c r="A128" s="16"/>
      <c r="B128" s="16" t="s">
        <v>83</v>
      </c>
      <c r="C128" s="17" t="n">
        <v>5.8</v>
      </c>
      <c r="D128" s="18" t="n">
        <v>18</v>
      </c>
      <c r="E128" s="20" t="s">
        <v>164</v>
      </c>
      <c r="F128" s="16" t="s">
        <v>69</v>
      </c>
      <c r="G128" s="16" t="s">
        <v>158</v>
      </c>
    </row>
    <row r="129" customFormat="false" ht="23.25" hidden="false" customHeight="true" outlineLevel="0" collapsed="false">
      <c r="A129" s="16"/>
      <c r="B129" s="16" t="s">
        <v>85</v>
      </c>
      <c r="C129" s="17" t="s">
        <v>22</v>
      </c>
      <c r="D129" s="18" t="s">
        <v>15</v>
      </c>
      <c r="E129" s="20" t="s">
        <v>86</v>
      </c>
      <c r="F129" s="16" t="s">
        <v>69</v>
      </c>
      <c r="G129" s="16" t="s">
        <v>158</v>
      </c>
    </row>
    <row r="130" customFormat="false" ht="23.25" hidden="false" customHeight="true" outlineLevel="0" collapsed="false">
      <c r="A130" s="16"/>
      <c r="B130" s="16" t="s">
        <v>87</v>
      </c>
      <c r="C130" s="17" t="s">
        <v>22</v>
      </c>
      <c r="D130" s="18" t="s">
        <v>165</v>
      </c>
      <c r="E130" s="20" t="s">
        <v>81</v>
      </c>
      <c r="F130" s="20" t="s">
        <v>73</v>
      </c>
      <c r="G130" s="16" t="s">
        <v>158</v>
      </c>
    </row>
    <row r="131" customFormat="false" ht="23.25" hidden="false" customHeight="true" outlineLevel="0" collapsed="false">
      <c r="A131" s="16"/>
      <c r="B131" s="16" t="s">
        <v>89</v>
      </c>
      <c r="C131" s="17" t="s">
        <v>22</v>
      </c>
      <c r="D131" s="18" t="s">
        <v>15</v>
      </c>
      <c r="E131" s="20" t="s">
        <v>86</v>
      </c>
      <c r="F131" s="16" t="s">
        <v>69</v>
      </c>
      <c r="G131" s="16" t="s">
        <v>158</v>
      </c>
    </row>
    <row r="132" customFormat="false" ht="23.25" hidden="false" customHeight="true" outlineLevel="0" collapsed="false">
      <c r="A132" s="16"/>
      <c r="B132" s="16" t="s">
        <v>91</v>
      </c>
      <c r="C132" s="17" t="s">
        <v>22</v>
      </c>
      <c r="D132" s="18" t="s">
        <v>15</v>
      </c>
      <c r="E132" s="20" t="s">
        <v>86</v>
      </c>
      <c r="F132" s="19" t="s">
        <v>65</v>
      </c>
      <c r="G132" s="16" t="s">
        <v>158</v>
      </c>
    </row>
    <row r="133" customFormat="false" ht="23.25" hidden="false" customHeight="true" outlineLevel="0" collapsed="false">
      <c r="A133" s="16"/>
      <c r="B133" s="16" t="s">
        <v>92</v>
      </c>
      <c r="C133" s="17" t="s">
        <v>65</v>
      </c>
      <c r="D133" s="18" t="s">
        <v>166</v>
      </c>
      <c r="E133" s="19" t="s">
        <v>90</v>
      </c>
      <c r="F133" s="16" t="s">
        <v>69</v>
      </c>
      <c r="G133" s="16" t="s">
        <v>158</v>
      </c>
    </row>
    <row r="134" customFormat="false" ht="23.25" hidden="false" customHeight="true" outlineLevel="0" collapsed="false">
      <c r="A134" s="16"/>
      <c r="B134" s="16" t="s">
        <v>95</v>
      </c>
      <c r="C134" s="17" t="n">
        <v>615</v>
      </c>
      <c r="D134" s="18" t="n">
        <v>1000</v>
      </c>
      <c r="E134" s="19" t="s">
        <v>167</v>
      </c>
      <c r="F134" s="20" t="s">
        <v>73</v>
      </c>
      <c r="G134" s="16" t="s">
        <v>158</v>
      </c>
    </row>
    <row r="135" customFormat="false" ht="45.75" hidden="false" customHeight="true" outlineLevel="0" collapsed="false">
      <c r="A135" s="16"/>
      <c r="B135" s="16" t="s">
        <v>97</v>
      </c>
      <c r="C135" s="17" t="s">
        <v>168</v>
      </c>
      <c r="D135" s="18" t="s">
        <v>99</v>
      </c>
      <c r="E135" s="20" t="s">
        <v>81</v>
      </c>
      <c r="F135" s="20" t="s">
        <v>100</v>
      </c>
      <c r="G135" s="16" t="s">
        <v>158</v>
      </c>
    </row>
    <row r="136" customFormat="false" ht="23.25" hidden="false" customHeight="true" outlineLevel="0" collapsed="false">
      <c r="A136" s="16"/>
      <c r="B136" s="16" t="s">
        <v>101</v>
      </c>
      <c r="C136" s="17" t="n">
        <v>0</v>
      </c>
      <c r="D136" s="18" t="n">
        <v>0</v>
      </c>
      <c r="E136" s="19" t="s">
        <v>60</v>
      </c>
      <c r="F136" s="19" t="s">
        <v>61</v>
      </c>
      <c r="G136" s="16" t="s">
        <v>158</v>
      </c>
    </row>
    <row r="138" customFormat="false" ht="23.25" hidden="false" customHeight="true" outlineLevel="0" collapsed="false">
      <c r="A138" s="15" t="s">
        <v>23</v>
      </c>
      <c r="B138" s="16" t="s">
        <v>59</v>
      </c>
      <c r="C138" s="17" t="n">
        <v>454.61</v>
      </c>
      <c r="D138" s="18" t="n">
        <v>454.6</v>
      </c>
      <c r="E138" s="19" t="s">
        <v>124</v>
      </c>
      <c r="F138" s="19" t="s">
        <v>61</v>
      </c>
      <c r="G138" s="16" t="s">
        <v>169</v>
      </c>
    </row>
    <row r="139" customFormat="false" ht="23.25" hidden="false" customHeight="true" outlineLevel="0" collapsed="false">
      <c r="A139" s="16"/>
      <c r="B139" s="16" t="s">
        <v>63</v>
      </c>
      <c r="C139" s="17" t="n">
        <v>5.09</v>
      </c>
      <c r="D139" s="18" t="n">
        <v>3.79</v>
      </c>
      <c r="E139" s="19" t="s">
        <v>170</v>
      </c>
      <c r="F139" s="19" t="s">
        <v>65</v>
      </c>
      <c r="G139" s="16" t="s">
        <v>169</v>
      </c>
    </row>
    <row r="140" customFormat="false" ht="23.25" hidden="false" customHeight="true" outlineLevel="0" collapsed="false">
      <c r="A140" s="16"/>
      <c r="B140" s="16" t="s">
        <v>66</v>
      </c>
      <c r="C140" s="17" t="n">
        <v>63.95</v>
      </c>
      <c r="D140" s="18" t="n">
        <v>64</v>
      </c>
      <c r="E140" s="19" t="s">
        <v>171</v>
      </c>
      <c r="F140" s="19" t="s">
        <v>61</v>
      </c>
      <c r="G140" s="16" t="s">
        <v>169</v>
      </c>
    </row>
    <row r="141" customFormat="false" ht="23.25" hidden="false" customHeight="true" outlineLevel="0" collapsed="false">
      <c r="A141" s="16"/>
      <c r="B141" s="16" t="s">
        <v>67</v>
      </c>
      <c r="C141" s="17" t="n">
        <v>46.8</v>
      </c>
      <c r="D141" s="18" t="n">
        <v>22</v>
      </c>
      <c r="E141" s="20" t="s">
        <v>172</v>
      </c>
      <c r="F141" s="16" t="s">
        <v>69</v>
      </c>
      <c r="G141" s="16" t="s">
        <v>169</v>
      </c>
    </row>
    <row r="142" customFormat="false" ht="23.25" hidden="false" customHeight="true" outlineLevel="0" collapsed="false">
      <c r="A142" s="16"/>
      <c r="B142" s="16" t="s">
        <v>70</v>
      </c>
      <c r="C142" s="17" t="n">
        <v>92</v>
      </c>
      <c r="D142" s="18" t="n">
        <v>90</v>
      </c>
      <c r="E142" s="19" t="s">
        <v>173</v>
      </c>
      <c r="F142" s="16" t="s">
        <v>69</v>
      </c>
      <c r="G142" s="16" t="s">
        <v>169</v>
      </c>
    </row>
    <row r="143" customFormat="false" ht="23.25" hidden="false" customHeight="true" outlineLevel="0" collapsed="false">
      <c r="A143" s="16"/>
      <c r="B143" s="16" t="s">
        <v>74</v>
      </c>
      <c r="C143" s="17" t="n">
        <v>6.52</v>
      </c>
      <c r="D143" s="18" t="n">
        <v>4</v>
      </c>
      <c r="E143" s="20" t="s">
        <v>174</v>
      </c>
      <c r="F143" s="16" t="s">
        <v>69</v>
      </c>
      <c r="G143" s="16" t="s">
        <v>169</v>
      </c>
    </row>
    <row r="144" customFormat="false" ht="23.25" hidden="false" customHeight="true" outlineLevel="0" collapsed="false">
      <c r="A144" s="16"/>
      <c r="B144" s="16" t="s">
        <v>76</v>
      </c>
      <c r="C144" s="17" t="n">
        <v>13.2</v>
      </c>
      <c r="D144" s="18" t="s">
        <v>77</v>
      </c>
      <c r="E144" s="16" t="s">
        <v>72</v>
      </c>
      <c r="F144" s="20" t="s">
        <v>73</v>
      </c>
      <c r="G144" s="16" t="s">
        <v>169</v>
      </c>
    </row>
    <row r="145" customFormat="false" ht="23.25" hidden="false" customHeight="true" outlineLevel="0" collapsed="false">
      <c r="A145" s="16"/>
      <c r="B145" s="16" t="s">
        <v>78</v>
      </c>
      <c r="C145" s="17" t="n">
        <v>0.14</v>
      </c>
      <c r="D145" s="18" t="s">
        <v>77</v>
      </c>
      <c r="E145" s="16" t="s">
        <v>72</v>
      </c>
      <c r="F145" s="16" t="s">
        <v>69</v>
      </c>
      <c r="G145" s="16" t="s">
        <v>169</v>
      </c>
    </row>
    <row r="146" customFormat="false" ht="23.25" hidden="false" customHeight="true" outlineLevel="0" collapsed="false">
      <c r="A146" s="16"/>
      <c r="B146" s="16" t="s">
        <v>79</v>
      </c>
      <c r="C146" s="17" t="s">
        <v>80</v>
      </c>
      <c r="D146" s="18" t="s">
        <v>77</v>
      </c>
      <c r="E146" s="20" t="s">
        <v>81</v>
      </c>
      <c r="F146" s="16" t="s">
        <v>82</v>
      </c>
      <c r="G146" s="16" t="s">
        <v>169</v>
      </c>
    </row>
    <row r="147" customFormat="false" ht="23.25" hidden="false" customHeight="true" outlineLevel="0" collapsed="false">
      <c r="A147" s="16"/>
      <c r="B147" s="16" t="s">
        <v>83</v>
      </c>
      <c r="C147" s="17" t="n">
        <v>5.6</v>
      </c>
      <c r="D147" s="18" t="n">
        <v>6</v>
      </c>
      <c r="E147" s="19" t="s">
        <v>175</v>
      </c>
      <c r="F147" s="16" t="s">
        <v>69</v>
      </c>
      <c r="G147" s="16" t="s">
        <v>169</v>
      </c>
    </row>
    <row r="148" customFormat="false" ht="23.25" hidden="false" customHeight="true" outlineLevel="0" collapsed="false">
      <c r="A148" s="16"/>
      <c r="B148" s="16" t="s">
        <v>85</v>
      </c>
      <c r="C148" s="17" t="s">
        <v>22</v>
      </c>
      <c r="D148" s="18" t="s">
        <v>22</v>
      </c>
      <c r="E148" s="19" t="s">
        <v>90</v>
      </c>
      <c r="F148" s="16" t="s">
        <v>69</v>
      </c>
      <c r="G148" s="16" t="s">
        <v>169</v>
      </c>
    </row>
    <row r="149" customFormat="false" ht="23.25" hidden="false" customHeight="true" outlineLevel="0" collapsed="false">
      <c r="A149" s="16"/>
      <c r="B149" s="16" t="s">
        <v>87</v>
      </c>
      <c r="C149" s="17" t="s">
        <v>22</v>
      </c>
      <c r="D149" s="18" t="s">
        <v>88</v>
      </c>
      <c r="E149" s="20" t="s">
        <v>81</v>
      </c>
      <c r="F149" s="20" t="s">
        <v>73</v>
      </c>
      <c r="G149" s="16" t="s">
        <v>169</v>
      </c>
    </row>
    <row r="150" customFormat="false" ht="23.25" hidden="false" customHeight="true" outlineLevel="0" collapsed="false">
      <c r="A150" s="16"/>
      <c r="B150" s="16" t="s">
        <v>89</v>
      </c>
      <c r="C150" s="17" t="s">
        <v>22</v>
      </c>
      <c r="D150" s="18" t="s">
        <v>22</v>
      </c>
      <c r="E150" s="19" t="s">
        <v>90</v>
      </c>
      <c r="F150" s="16" t="s">
        <v>69</v>
      </c>
      <c r="G150" s="16" t="s">
        <v>169</v>
      </c>
    </row>
    <row r="151" customFormat="false" ht="23.25" hidden="false" customHeight="true" outlineLevel="0" collapsed="false">
      <c r="A151" s="16"/>
      <c r="B151" s="16" t="s">
        <v>91</v>
      </c>
      <c r="C151" s="17" t="s">
        <v>15</v>
      </c>
      <c r="D151" s="18" t="s">
        <v>15</v>
      </c>
      <c r="E151" s="19" t="s">
        <v>90</v>
      </c>
      <c r="F151" s="19" t="s">
        <v>65</v>
      </c>
      <c r="G151" s="16" t="s">
        <v>169</v>
      </c>
    </row>
    <row r="152" customFormat="false" ht="23.25" hidden="false" customHeight="true" outlineLevel="0" collapsed="false">
      <c r="A152" s="16"/>
      <c r="B152" s="16" t="s">
        <v>92</v>
      </c>
      <c r="C152" s="17" t="s">
        <v>93</v>
      </c>
      <c r="D152" s="18" t="s">
        <v>176</v>
      </c>
      <c r="E152" s="19" t="s">
        <v>90</v>
      </c>
      <c r="F152" s="16" t="s">
        <v>69</v>
      </c>
      <c r="G152" s="16" t="s">
        <v>169</v>
      </c>
    </row>
    <row r="153" customFormat="false" ht="23.25" hidden="false" customHeight="true" outlineLevel="0" collapsed="false">
      <c r="A153" s="16"/>
      <c r="B153" s="16" t="s">
        <v>95</v>
      </c>
      <c r="C153" s="17" t="n">
        <v>499</v>
      </c>
      <c r="D153" s="18" t="n">
        <v>108</v>
      </c>
      <c r="E153" s="20" t="s">
        <v>177</v>
      </c>
      <c r="F153" s="20" t="s">
        <v>73</v>
      </c>
      <c r="G153" s="16" t="s">
        <v>169</v>
      </c>
    </row>
    <row r="154" customFormat="false" ht="45.75" hidden="false" customHeight="true" outlineLevel="0" collapsed="false">
      <c r="A154" s="16"/>
      <c r="B154" s="16" t="s">
        <v>97</v>
      </c>
      <c r="C154" s="17" t="s">
        <v>178</v>
      </c>
      <c r="D154" s="18" t="s">
        <v>99</v>
      </c>
      <c r="E154" s="20" t="s">
        <v>81</v>
      </c>
      <c r="F154" s="20" t="s">
        <v>100</v>
      </c>
      <c r="G154" s="16" t="s">
        <v>169</v>
      </c>
    </row>
    <row r="155" customFormat="false" ht="23.25" hidden="false" customHeight="true" outlineLevel="0" collapsed="false">
      <c r="A155" s="16"/>
      <c r="B155" s="16" t="s">
        <v>101</v>
      </c>
      <c r="C155" s="17" t="n">
        <v>1</v>
      </c>
      <c r="D155" s="18" t="n">
        <v>1</v>
      </c>
      <c r="E155" s="19" t="s">
        <v>60</v>
      </c>
      <c r="F155" s="19" t="s">
        <v>61</v>
      </c>
      <c r="G155" s="16" t="s">
        <v>169</v>
      </c>
    </row>
    <row r="157" customFormat="false" ht="23.25" hidden="false" customHeight="true" outlineLevel="0" collapsed="false">
      <c r="A157" s="15" t="s">
        <v>24</v>
      </c>
      <c r="B157" s="16" t="s">
        <v>59</v>
      </c>
      <c r="C157" s="17" t="n">
        <v>259.35</v>
      </c>
      <c r="D157" s="18" t="n">
        <v>259.34</v>
      </c>
      <c r="E157" s="19" t="s">
        <v>124</v>
      </c>
      <c r="F157" s="19" t="s">
        <v>61</v>
      </c>
      <c r="G157" s="16" t="s">
        <v>179</v>
      </c>
    </row>
    <row r="158" customFormat="false" ht="23.25" hidden="false" customHeight="true" outlineLevel="0" collapsed="false">
      <c r="A158" s="16"/>
      <c r="B158" s="16" t="s">
        <v>63</v>
      </c>
      <c r="C158" s="17" t="n">
        <v>2.58</v>
      </c>
      <c r="D158" s="18" t="n">
        <v>3.48</v>
      </c>
      <c r="E158" s="19" t="s">
        <v>180</v>
      </c>
      <c r="F158" s="19" t="s">
        <v>65</v>
      </c>
      <c r="G158" s="16" t="s">
        <v>179</v>
      </c>
    </row>
    <row r="159" customFormat="false" ht="23.25" hidden="false" customHeight="true" outlineLevel="0" collapsed="false">
      <c r="A159" s="16"/>
      <c r="B159" s="16" t="s">
        <v>66</v>
      </c>
      <c r="C159" s="17" t="n">
        <v>41.49</v>
      </c>
      <c r="D159" s="18" t="n">
        <v>41.5</v>
      </c>
      <c r="E159" s="19" t="s">
        <v>181</v>
      </c>
      <c r="F159" s="19" t="s">
        <v>61</v>
      </c>
      <c r="G159" s="16" t="s">
        <v>179</v>
      </c>
    </row>
    <row r="160" customFormat="false" ht="23.25" hidden="false" customHeight="true" outlineLevel="0" collapsed="false">
      <c r="A160" s="16"/>
      <c r="B160" s="16" t="s">
        <v>67</v>
      </c>
      <c r="C160" s="17" t="n">
        <v>88.2</v>
      </c>
      <c r="D160" s="18" t="n">
        <v>26</v>
      </c>
      <c r="E160" s="20" t="s">
        <v>182</v>
      </c>
      <c r="F160" s="16" t="s">
        <v>69</v>
      </c>
      <c r="G160" s="16" t="s">
        <v>179</v>
      </c>
    </row>
    <row r="161" customFormat="false" ht="23.25" hidden="false" customHeight="true" outlineLevel="0" collapsed="false">
      <c r="A161" s="16"/>
      <c r="B161" s="16" t="s">
        <v>70</v>
      </c>
      <c r="C161" s="17" t="n">
        <v>91</v>
      </c>
      <c r="D161" s="18" t="n">
        <v>90</v>
      </c>
      <c r="E161" s="19" t="s">
        <v>183</v>
      </c>
      <c r="F161" s="16" t="s">
        <v>69</v>
      </c>
      <c r="G161" s="16" t="s">
        <v>179</v>
      </c>
    </row>
    <row r="162" customFormat="false" ht="23.25" hidden="false" customHeight="true" outlineLevel="0" collapsed="false">
      <c r="A162" s="16"/>
      <c r="B162" s="16" t="s">
        <v>74</v>
      </c>
      <c r="C162" s="17" t="n">
        <v>4.56</v>
      </c>
      <c r="D162" s="18" t="n">
        <v>4</v>
      </c>
      <c r="E162" s="19" t="s">
        <v>184</v>
      </c>
      <c r="F162" s="16" t="s">
        <v>69</v>
      </c>
      <c r="G162" s="16" t="s">
        <v>179</v>
      </c>
    </row>
    <row r="163" customFormat="false" ht="23.25" hidden="false" customHeight="true" outlineLevel="0" collapsed="false">
      <c r="A163" s="16"/>
      <c r="B163" s="16" t="s">
        <v>76</v>
      </c>
      <c r="C163" s="17" t="n">
        <v>4.49</v>
      </c>
      <c r="D163" s="18" t="s">
        <v>77</v>
      </c>
      <c r="E163" s="16" t="s">
        <v>72</v>
      </c>
      <c r="F163" s="20" t="s">
        <v>73</v>
      </c>
      <c r="G163" s="16" t="s">
        <v>179</v>
      </c>
    </row>
    <row r="164" customFormat="false" ht="23.25" hidden="false" customHeight="true" outlineLevel="0" collapsed="false">
      <c r="A164" s="16"/>
      <c r="B164" s="16" t="s">
        <v>78</v>
      </c>
      <c r="C164" s="17" t="n">
        <v>0.16</v>
      </c>
      <c r="D164" s="18" t="s">
        <v>77</v>
      </c>
      <c r="E164" s="16" t="s">
        <v>72</v>
      </c>
      <c r="F164" s="16" t="s">
        <v>69</v>
      </c>
      <c r="G164" s="16" t="s">
        <v>179</v>
      </c>
    </row>
    <row r="165" customFormat="false" ht="23.25" hidden="false" customHeight="true" outlineLevel="0" collapsed="false">
      <c r="A165" s="16"/>
      <c r="B165" s="16" t="s">
        <v>79</v>
      </c>
      <c r="C165" s="17" t="s">
        <v>80</v>
      </c>
      <c r="D165" s="18" t="s">
        <v>77</v>
      </c>
      <c r="E165" s="20" t="s">
        <v>81</v>
      </c>
      <c r="F165" s="16" t="s">
        <v>82</v>
      </c>
      <c r="G165" s="16" t="s">
        <v>179</v>
      </c>
    </row>
    <row r="166" customFormat="false" ht="23.25" hidden="false" customHeight="true" outlineLevel="0" collapsed="false">
      <c r="A166" s="16"/>
      <c r="B166" s="16" t="s">
        <v>83</v>
      </c>
      <c r="C166" s="17" t="n">
        <v>11.3</v>
      </c>
      <c r="D166" s="18" t="n">
        <v>4</v>
      </c>
      <c r="E166" s="20" t="s">
        <v>185</v>
      </c>
      <c r="F166" s="16" t="s">
        <v>69</v>
      </c>
      <c r="G166" s="16" t="s">
        <v>179</v>
      </c>
    </row>
    <row r="167" customFormat="false" ht="23.25" hidden="false" customHeight="true" outlineLevel="0" collapsed="false">
      <c r="A167" s="16"/>
      <c r="B167" s="16" t="s">
        <v>85</v>
      </c>
      <c r="C167" s="17" t="s">
        <v>22</v>
      </c>
      <c r="D167" s="18" t="s">
        <v>22</v>
      </c>
      <c r="E167" s="19" t="s">
        <v>90</v>
      </c>
      <c r="F167" s="16" t="s">
        <v>69</v>
      </c>
      <c r="G167" s="16" t="s">
        <v>179</v>
      </c>
    </row>
    <row r="168" customFormat="false" ht="23.25" hidden="false" customHeight="true" outlineLevel="0" collapsed="false">
      <c r="A168" s="16"/>
      <c r="B168" s="16" t="s">
        <v>87</v>
      </c>
      <c r="C168" s="17" t="s">
        <v>15</v>
      </c>
      <c r="D168" s="18" t="s">
        <v>186</v>
      </c>
      <c r="E168" s="19" t="s">
        <v>90</v>
      </c>
      <c r="F168" s="20" t="s">
        <v>73</v>
      </c>
      <c r="G168" s="16" t="s">
        <v>179</v>
      </c>
    </row>
    <row r="169" customFormat="false" ht="23.25" hidden="false" customHeight="true" outlineLevel="0" collapsed="false">
      <c r="A169" s="16"/>
      <c r="B169" s="16" t="s">
        <v>89</v>
      </c>
      <c r="C169" s="17" t="s">
        <v>15</v>
      </c>
      <c r="D169" s="18" t="s">
        <v>15</v>
      </c>
      <c r="E169" s="19" t="s">
        <v>90</v>
      </c>
      <c r="F169" s="16" t="s">
        <v>69</v>
      </c>
      <c r="G169" s="16" t="s">
        <v>179</v>
      </c>
    </row>
    <row r="170" customFormat="false" ht="23.25" hidden="false" customHeight="true" outlineLevel="0" collapsed="false">
      <c r="A170" s="16"/>
      <c r="B170" s="16" t="s">
        <v>91</v>
      </c>
      <c r="C170" s="17" t="s">
        <v>15</v>
      </c>
      <c r="D170" s="18" t="s">
        <v>15</v>
      </c>
      <c r="E170" s="19" t="s">
        <v>90</v>
      </c>
      <c r="F170" s="19" t="s">
        <v>65</v>
      </c>
      <c r="G170" s="16" t="s">
        <v>179</v>
      </c>
    </row>
    <row r="171" customFormat="false" ht="23.25" hidden="false" customHeight="true" outlineLevel="0" collapsed="false">
      <c r="A171" s="16"/>
      <c r="B171" s="16" t="s">
        <v>92</v>
      </c>
      <c r="C171" s="17" t="s">
        <v>73</v>
      </c>
      <c r="D171" s="18" t="s">
        <v>73</v>
      </c>
      <c r="E171" s="19" t="s">
        <v>90</v>
      </c>
      <c r="F171" s="16" t="s">
        <v>69</v>
      </c>
      <c r="G171" s="16" t="s">
        <v>179</v>
      </c>
    </row>
    <row r="172" customFormat="false" ht="23.25" hidden="false" customHeight="true" outlineLevel="0" collapsed="false">
      <c r="A172" s="16"/>
      <c r="B172" s="16" t="s">
        <v>95</v>
      </c>
      <c r="C172" s="17" t="n">
        <v>749</v>
      </c>
      <c r="D172" s="18" t="n">
        <v>466</v>
      </c>
      <c r="E172" s="20" t="s">
        <v>187</v>
      </c>
      <c r="F172" s="20" t="s">
        <v>73</v>
      </c>
      <c r="G172" s="16" t="s">
        <v>179</v>
      </c>
    </row>
    <row r="173" customFormat="false" ht="45.75" hidden="false" customHeight="true" outlineLevel="0" collapsed="false">
      <c r="A173" s="16"/>
      <c r="B173" s="16" t="s">
        <v>97</v>
      </c>
      <c r="C173" s="17" t="s">
        <v>188</v>
      </c>
      <c r="D173" s="18" t="s">
        <v>99</v>
      </c>
      <c r="E173" s="20" t="s">
        <v>81</v>
      </c>
      <c r="F173" s="20" t="s">
        <v>100</v>
      </c>
      <c r="G173" s="16" t="s">
        <v>179</v>
      </c>
    </row>
    <row r="174" customFormat="false" ht="23.25" hidden="false" customHeight="true" outlineLevel="0" collapsed="false">
      <c r="A174" s="16"/>
      <c r="B174" s="16" t="s">
        <v>101</v>
      </c>
      <c r="C174" s="17" t="n">
        <v>0</v>
      </c>
      <c r="D174" s="18" t="n">
        <v>0</v>
      </c>
      <c r="E174" s="19" t="s">
        <v>60</v>
      </c>
      <c r="F174" s="19" t="s">
        <v>61</v>
      </c>
      <c r="G174" s="16" t="s">
        <v>179</v>
      </c>
    </row>
    <row r="176" customFormat="false" ht="23.25" hidden="false" customHeight="true" outlineLevel="0" collapsed="false">
      <c r="A176" s="15" t="s">
        <v>25</v>
      </c>
      <c r="B176" s="16" t="s">
        <v>59</v>
      </c>
      <c r="C176" s="17" t="n">
        <v>474.59</v>
      </c>
      <c r="D176" s="18" t="n">
        <v>474.58</v>
      </c>
      <c r="E176" s="19" t="s">
        <v>124</v>
      </c>
      <c r="F176" s="19" t="s">
        <v>61</v>
      </c>
      <c r="G176" s="16" t="s">
        <v>189</v>
      </c>
    </row>
    <row r="177" customFormat="false" ht="23.25" hidden="false" customHeight="true" outlineLevel="0" collapsed="false">
      <c r="A177" s="16"/>
      <c r="B177" s="16" t="s">
        <v>63</v>
      </c>
      <c r="C177" s="17" t="n">
        <v>1.61</v>
      </c>
      <c r="D177" s="18" t="n">
        <v>2.75</v>
      </c>
      <c r="E177" s="20" t="s">
        <v>190</v>
      </c>
      <c r="F177" s="19" t="s">
        <v>65</v>
      </c>
      <c r="G177" s="16" t="s">
        <v>189</v>
      </c>
    </row>
    <row r="178" customFormat="false" ht="23.25" hidden="false" customHeight="true" outlineLevel="0" collapsed="false">
      <c r="A178" s="16"/>
      <c r="B178" s="16" t="s">
        <v>66</v>
      </c>
      <c r="C178" s="17" t="n">
        <v>113.42</v>
      </c>
      <c r="D178" s="18" t="n">
        <v>113</v>
      </c>
      <c r="E178" s="19" t="s">
        <v>191</v>
      </c>
      <c r="F178" s="19" t="s">
        <v>61</v>
      </c>
      <c r="G178" s="16" t="s">
        <v>189</v>
      </c>
    </row>
    <row r="179" customFormat="false" ht="23.25" hidden="false" customHeight="true" outlineLevel="0" collapsed="false">
      <c r="A179" s="16"/>
      <c r="B179" s="16" t="s">
        <v>67</v>
      </c>
      <c r="C179" s="17" t="n">
        <v>60.9</v>
      </c>
      <c r="D179" s="18" t="n">
        <v>41</v>
      </c>
      <c r="E179" s="19" t="s">
        <v>192</v>
      </c>
      <c r="F179" s="16" t="s">
        <v>69</v>
      </c>
      <c r="G179" s="16" t="s">
        <v>189</v>
      </c>
    </row>
    <row r="180" customFormat="false" ht="23.25" hidden="false" customHeight="true" outlineLevel="0" collapsed="false">
      <c r="A180" s="16"/>
      <c r="B180" s="16" t="s">
        <v>70</v>
      </c>
      <c r="C180" s="17" t="n">
        <v>90.6</v>
      </c>
      <c r="D180" s="18" t="n">
        <v>96</v>
      </c>
      <c r="E180" s="19" t="s">
        <v>193</v>
      </c>
      <c r="F180" s="16" t="s">
        <v>69</v>
      </c>
      <c r="G180" s="16" t="s">
        <v>189</v>
      </c>
    </row>
    <row r="181" customFormat="false" ht="23.25" hidden="false" customHeight="true" outlineLevel="0" collapsed="false">
      <c r="A181" s="16"/>
      <c r="B181" s="16" t="s">
        <v>74</v>
      </c>
      <c r="C181" s="17" t="n">
        <v>1.57</v>
      </c>
      <c r="D181" s="18" t="n">
        <v>1.5</v>
      </c>
      <c r="E181" s="19" t="s">
        <v>194</v>
      </c>
      <c r="F181" s="16" t="s">
        <v>69</v>
      </c>
      <c r="G181" s="16" t="s">
        <v>189</v>
      </c>
    </row>
    <row r="182" customFormat="false" ht="23.25" hidden="false" customHeight="true" outlineLevel="0" collapsed="false">
      <c r="A182" s="16"/>
      <c r="B182" s="16" t="s">
        <v>76</v>
      </c>
      <c r="C182" s="17" t="n">
        <v>4.31</v>
      </c>
      <c r="D182" s="18" t="s">
        <v>77</v>
      </c>
      <c r="E182" s="16" t="s">
        <v>72</v>
      </c>
      <c r="F182" s="20" t="s">
        <v>73</v>
      </c>
      <c r="G182" s="16" t="s">
        <v>189</v>
      </c>
    </row>
    <row r="183" customFormat="false" ht="23.25" hidden="false" customHeight="true" outlineLevel="0" collapsed="false">
      <c r="A183" s="16"/>
      <c r="B183" s="16" t="s">
        <v>78</v>
      </c>
      <c r="C183" s="17" t="n">
        <v>0.17</v>
      </c>
      <c r="D183" s="18" t="s">
        <v>77</v>
      </c>
      <c r="E183" s="16" t="s">
        <v>72</v>
      </c>
      <c r="F183" s="16" t="s">
        <v>69</v>
      </c>
      <c r="G183" s="16" t="s">
        <v>189</v>
      </c>
    </row>
    <row r="184" customFormat="false" ht="23.25" hidden="false" customHeight="true" outlineLevel="0" collapsed="false">
      <c r="A184" s="16"/>
      <c r="B184" s="16" t="s">
        <v>79</v>
      </c>
      <c r="C184" s="17" t="s">
        <v>80</v>
      </c>
      <c r="D184" s="18" t="s">
        <v>77</v>
      </c>
      <c r="E184" s="20" t="s">
        <v>81</v>
      </c>
      <c r="F184" s="16" t="s">
        <v>82</v>
      </c>
      <c r="G184" s="16" t="s">
        <v>189</v>
      </c>
    </row>
    <row r="185" customFormat="false" ht="23.25" hidden="false" customHeight="true" outlineLevel="0" collapsed="false">
      <c r="A185" s="16"/>
      <c r="B185" s="16" t="s">
        <v>83</v>
      </c>
      <c r="C185" s="17" t="n">
        <v>4</v>
      </c>
      <c r="D185" s="18" t="n">
        <v>4</v>
      </c>
      <c r="E185" s="19" t="s">
        <v>60</v>
      </c>
      <c r="F185" s="16" t="s">
        <v>69</v>
      </c>
      <c r="G185" s="16" t="s">
        <v>189</v>
      </c>
    </row>
    <row r="186" customFormat="false" ht="23.25" hidden="false" customHeight="true" outlineLevel="0" collapsed="false">
      <c r="A186" s="16"/>
      <c r="B186" s="16" t="s">
        <v>85</v>
      </c>
      <c r="C186" s="17" t="s">
        <v>15</v>
      </c>
      <c r="D186" s="18" t="s">
        <v>15</v>
      </c>
      <c r="E186" s="19" t="s">
        <v>90</v>
      </c>
      <c r="F186" s="16" t="s">
        <v>69</v>
      </c>
      <c r="G186" s="16" t="s">
        <v>189</v>
      </c>
    </row>
    <row r="187" customFormat="false" ht="23.25" hidden="false" customHeight="true" outlineLevel="0" collapsed="false">
      <c r="A187" s="16"/>
      <c r="B187" s="16" t="s">
        <v>87</v>
      </c>
      <c r="C187" s="17" t="s">
        <v>15</v>
      </c>
      <c r="D187" s="18" t="s">
        <v>195</v>
      </c>
      <c r="E187" s="19" t="s">
        <v>90</v>
      </c>
      <c r="F187" s="20" t="s">
        <v>73</v>
      </c>
      <c r="G187" s="16" t="s">
        <v>189</v>
      </c>
    </row>
    <row r="188" customFormat="false" ht="23.25" hidden="false" customHeight="true" outlineLevel="0" collapsed="false">
      <c r="A188" s="16"/>
      <c r="B188" s="16" t="s">
        <v>89</v>
      </c>
      <c r="C188" s="17" t="s">
        <v>15</v>
      </c>
      <c r="D188" s="18" t="s">
        <v>15</v>
      </c>
      <c r="E188" s="19" t="s">
        <v>90</v>
      </c>
      <c r="F188" s="16" t="s">
        <v>69</v>
      </c>
      <c r="G188" s="16" t="s">
        <v>189</v>
      </c>
    </row>
    <row r="189" customFormat="false" ht="23.25" hidden="false" customHeight="true" outlineLevel="0" collapsed="false">
      <c r="A189" s="16"/>
      <c r="B189" s="16" t="s">
        <v>91</v>
      </c>
      <c r="C189" s="17" t="s">
        <v>15</v>
      </c>
      <c r="D189" s="18" t="s">
        <v>15</v>
      </c>
      <c r="E189" s="19" t="s">
        <v>90</v>
      </c>
      <c r="F189" s="19" t="s">
        <v>65</v>
      </c>
      <c r="G189" s="16" t="s">
        <v>189</v>
      </c>
    </row>
    <row r="190" customFormat="false" ht="23.25" hidden="false" customHeight="true" outlineLevel="0" collapsed="false">
      <c r="A190" s="16"/>
      <c r="B190" s="16" t="s">
        <v>92</v>
      </c>
      <c r="C190" s="17" t="s">
        <v>73</v>
      </c>
      <c r="D190" s="18" t="s">
        <v>73</v>
      </c>
      <c r="E190" s="19" t="s">
        <v>90</v>
      </c>
      <c r="F190" s="16" t="s">
        <v>69</v>
      </c>
      <c r="G190" s="16" t="s">
        <v>189</v>
      </c>
    </row>
    <row r="191" customFormat="false" ht="23.25" hidden="false" customHeight="true" outlineLevel="0" collapsed="false">
      <c r="A191" s="16"/>
      <c r="B191" s="16" t="s">
        <v>95</v>
      </c>
      <c r="C191" s="17" t="n">
        <v>971</v>
      </c>
      <c r="D191" s="18" t="n">
        <v>2000</v>
      </c>
      <c r="E191" s="20" t="s">
        <v>196</v>
      </c>
      <c r="F191" s="20" t="s">
        <v>73</v>
      </c>
      <c r="G191" s="16" t="s">
        <v>189</v>
      </c>
    </row>
    <row r="192" customFormat="false" ht="45.75" hidden="false" customHeight="true" outlineLevel="0" collapsed="false">
      <c r="A192" s="16"/>
      <c r="B192" s="16" t="s">
        <v>97</v>
      </c>
      <c r="C192" s="17" t="s">
        <v>197</v>
      </c>
      <c r="D192" s="18" t="s">
        <v>99</v>
      </c>
      <c r="E192" s="20" t="s">
        <v>81</v>
      </c>
      <c r="F192" s="20" t="s">
        <v>100</v>
      </c>
      <c r="G192" s="16" t="s">
        <v>189</v>
      </c>
    </row>
    <row r="193" customFormat="false" ht="23.25" hidden="false" customHeight="true" outlineLevel="0" collapsed="false">
      <c r="A193" s="16"/>
      <c r="B193" s="16" t="s">
        <v>101</v>
      </c>
      <c r="C193" s="17" t="n">
        <v>0</v>
      </c>
      <c r="D193" s="18" t="n">
        <v>0</v>
      </c>
      <c r="E193" s="19" t="s">
        <v>60</v>
      </c>
      <c r="F193" s="19" t="s">
        <v>61</v>
      </c>
      <c r="G193" s="16" t="s">
        <v>189</v>
      </c>
    </row>
    <row r="195" customFormat="false" ht="23.25" hidden="false" customHeight="true" outlineLevel="0" collapsed="false">
      <c r="A195" s="15" t="s">
        <v>26</v>
      </c>
      <c r="B195" s="16" t="s">
        <v>59</v>
      </c>
      <c r="C195" s="17" t="n">
        <v>405.5</v>
      </c>
      <c r="D195" s="18" t="n">
        <v>405.49</v>
      </c>
      <c r="E195" s="19" t="s">
        <v>124</v>
      </c>
      <c r="F195" s="19" t="s">
        <v>61</v>
      </c>
      <c r="G195" s="16" t="s">
        <v>198</v>
      </c>
    </row>
    <row r="196" customFormat="false" ht="23.25" hidden="false" customHeight="true" outlineLevel="0" collapsed="false">
      <c r="A196" s="16"/>
      <c r="B196" s="16" t="s">
        <v>63</v>
      </c>
      <c r="C196" s="17" t="n">
        <v>1.24</v>
      </c>
      <c r="D196" s="18" t="n">
        <v>-1.22</v>
      </c>
      <c r="E196" s="20" t="s">
        <v>199</v>
      </c>
      <c r="F196" s="19" t="s">
        <v>65</v>
      </c>
      <c r="G196" s="16" t="s">
        <v>198</v>
      </c>
    </row>
    <row r="197" customFormat="false" ht="23.25" hidden="false" customHeight="true" outlineLevel="0" collapsed="false">
      <c r="A197" s="16"/>
      <c r="B197" s="16" t="s">
        <v>66</v>
      </c>
      <c r="C197" s="17" t="n">
        <v>132.96</v>
      </c>
      <c r="D197" s="18" t="n">
        <v>132.96</v>
      </c>
      <c r="E197" s="19" t="s">
        <v>60</v>
      </c>
      <c r="F197" s="19" t="s">
        <v>61</v>
      </c>
      <c r="G197" s="16" t="s">
        <v>198</v>
      </c>
    </row>
    <row r="198" customFormat="false" ht="23.25" hidden="false" customHeight="true" outlineLevel="0" collapsed="false">
      <c r="A198" s="16"/>
      <c r="B198" s="16" t="s">
        <v>67</v>
      </c>
      <c r="C198" s="17" t="n">
        <v>33.1</v>
      </c>
      <c r="D198" s="18" t="n">
        <v>25</v>
      </c>
      <c r="E198" s="19" t="s">
        <v>200</v>
      </c>
      <c r="F198" s="16" t="s">
        <v>69</v>
      </c>
      <c r="G198" s="16" t="s">
        <v>198</v>
      </c>
    </row>
    <row r="199" customFormat="false" ht="23.25" hidden="false" customHeight="true" outlineLevel="0" collapsed="false">
      <c r="A199" s="16"/>
      <c r="B199" s="16" t="s">
        <v>70</v>
      </c>
      <c r="C199" s="17" t="n">
        <v>75.5</v>
      </c>
      <c r="D199" s="18" t="s">
        <v>201</v>
      </c>
      <c r="E199" s="20" t="s">
        <v>202</v>
      </c>
      <c r="F199" s="16" t="s">
        <v>69</v>
      </c>
      <c r="G199" s="16" t="s">
        <v>198</v>
      </c>
    </row>
    <row r="200" customFormat="false" ht="23.25" hidden="false" customHeight="true" outlineLevel="0" collapsed="false">
      <c r="A200" s="16"/>
      <c r="B200" s="16" t="s">
        <v>74</v>
      </c>
      <c r="C200" s="17" t="n">
        <v>1.55</v>
      </c>
      <c r="D200" s="18" t="n">
        <v>1.6</v>
      </c>
      <c r="E200" s="19" t="s">
        <v>203</v>
      </c>
      <c r="F200" s="16" t="s">
        <v>69</v>
      </c>
      <c r="G200" s="16" t="s">
        <v>198</v>
      </c>
    </row>
    <row r="201" customFormat="false" ht="23.25" hidden="false" customHeight="true" outlineLevel="0" collapsed="false">
      <c r="A201" s="16"/>
      <c r="B201" s="16" t="s">
        <v>76</v>
      </c>
      <c r="C201" s="17" t="n">
        <v>4.66</v>
      </c>
      <c r="D201" s="18" t="s">
        <v>77</v>
      </c>
      <c r="E201" s="16" t="s">
        <v>72</v>
      </c>
      <c r="F201" s="20" t="s">
        <v>73</v>
      </c>
      <c r="G201" s="16" t="s">
        <v>198</v>
      </c>
    </row>
    <row r="202" customFormat="false" ht="23.25" hidden="false" customHeight="true" outlineLevel="0" collapsed="false">
      <c r="A202" s="16"/>
      <c r="B202" s="16" t="s">
        <v>78</v>
      </c>
      <c r="C202" s="17" t="n">
        <v>0.44</v>
      </c>
      <c r="D202" s="18" t="s">
        <v>77</v>
      </c>
      <c r="E202" s="16" t="s">
        <v>72</v>
      </c>
      <c r="F202" s="16" t="s">
        <v>69</v>
      </c>
      <c r="G202" s="16" t="s">
        <v>198</v>
      </c>
    </row>
    <row r="203" customFormat="false" ht="23.25" hidden="false" customHeight="true" outlineLevel="0" collapsed="false">
      <c r="A203" s="16"/>
      <c r="B203" s="16" t="s">
        <v>79</v>
      </c>
      <c r="C203" s="17" t="s">
        <v>80</v>
      </c>
      <c r="D203" s="18" t="s">
        <v>77</v>
      </c>
      <c r="E203" s="20" t="s">
        <v>81</v>
      </c>
      <c r="F203" s="16" t="s">
        <v>82</v>
      </c>
      <c r="G203" s="16" t="s">
        <v>198</v>
      </c>
    </row>
    <row r="204" customFormat="false" ht="23.25" hidden="false" customHeight="true" outlineLevel="0" collapsed="false">
      <c r="A204" s="16"/>
      <c r="B204" s="16" t="s">
        <v>83</v>
      </c>
      <c r="C204" s="17" t="n">
        <v>3.5</v>
      </c>
      <c r="D204" s="18" t="n">
        <v>12</v>
      </c>
      <c r="E204" s="20" t="s">
        <v>204</v>
      </c>
      <c r="F204" s="16" t="s">
        <v>69</v>
      </c>
      <c r="G204" s="16" t="s">
        <v>198</v>
      </c>
    </row>
    <row r="205" customFormat="false" ht="23.25" hidden="false" customHeight="true" outlineLevel="0" collapsed="false">
      <c r="A205" s="16"/>
      <c r="B205" s="16" t="s">
        <v>85</v>
      </c>
      <c r="C205" s="17" t="s">
        <v>15</v>
      </c>
      <c r="D205" s="18" t="s">
        <v>15</v>
      </c>
      <c r="E205" s="19" t="s">
        <v>90</v>
      </c>
      <c r="F205" s="16" t="s">
        <v>69</v>
      </c>
      <c r="G205" s="16" t="s">
        <v>198</v>
      </c>
    </row>
    <row r="206" customFormat="false" ht="23.25" hidden="false" customHeight="true" outlineLevel="0" collapsed="false">
      <c r="A206" s="16"/>
      <c r="B206" s="16" t="s">
        <v>87</v>
      </c>
      <c r="C206" s="17" t="s">
        <v>15</v>
      </c>
      <c r="D206" s="18" t="s">
        <v>205</v>
      </c>
      <c r="E206" s="19" t="s">
        <v>90</v>
      </c>
      <c r="F206" s="20" t="s">
        <v>73</v>
      </c>
      <c r="G206" s="16" t="s">
        <v>198</v>
      </c>
    </row>
    <row r="207" customFormat="false" ht="23.25" hidden="false" customHeight="true" outlineLevel="0" collapsed="false">
      <c r="A207" s="16"/>
      <c r="B207" s="16" t="s">
        <v>89</v>
      </c>
      <c r="C207" s="17" t="s">
        <v>15</v>
      </c>
      <c r="D207" s="18" t="s">
        <v>15</v>
      </c>
      <c r="E207" s="19" t="s">
        <v>90</v>
      </c>
      <c r="F207" s="16" t="s">
        <v>69</v>
      </c>
      <c r="G207" s="16" t="s">
        <v>198</v>
      </c>
    </row>
    <row r="208" customFormat="false" ht="23.25" hidden="false" customHeight="true" outlineLevel="0" collapsed="false">
      <c r="A208" s="16"/>
      <c r="B208" s="16" t="s">
        <v>91</v>
      </c>
      <c r="C208" s="17" t="s">
        <v>15</v>
      </c>
      <c r="D208" s="18" t="s">
        <v>15</v>
      </c>
      <c r="E208" s="19" t="s">
        <v>90</v>
      </c>
      <c r="F208" s="19" t="s">
        <v>65</v>
      </c>
      <c r="G208" s="16" t="s">
        <v>198</v>
      </c>
    </row>
    <row r="209" customFormat="false" ht="23.25" hidden="false" customHeight="true" outlineLevel="0" collapsed="false">
      <c r="A209" s="16"/>
      <c r="B209" s="16" t="s">
        <v>92</v>
      </c>
      <c r="C209" s="17" t="s">
        <v>73</v>
      </c>
      <c r="D209" s="18" t="s">
        <v>73</v>
      </c>
      <c r="E209" s="19" t="s">
        <v>90</v>
      </c>
      <c r="F209" s="16" t="s">
        <v>69</v>
      </c>
      <c r="G209" s="16" t="s">
        <v>198</v>
      </c>
    </row>
    <row r="210" customFormat="false" ht="23.25" hidden="false" customHeight="true" outlineLevel="0" collapsed="false">
      <c r="A210" s="16"/>
      <c r="B210" s="16" t="s">
        <v>95</v>
      </c>
      <c r="C210" s="17" t="n">
        <v>1424</v>
      </c>
      <c r="D210" s="18" t="n">
        <v>7000</v>
      </c>
      <c r="E210" s="20" t="s">
        <v>206</v>
      </c>
      <c r="F210" s="20" t="s">
        <v>73</v>
      </c>
      <c r="G210" s="16" t="s">
        <v>198</v>
      </c>
    </row>
    <row r="211" customFormat="false" ht="45.75" hidden="false" customHeight="true" outlineLevel="0" collapsed="false">
      <c r="A211" s="16"/>
      <c r="B211" s="16" t="s">
        <v>97</v>
      </c>
      <c r="C211" s="17" t="s">
        <v>207</v>
      </c>
      <c r="D211" s="18" t="s">
        <v>99</v>
      </c>
      <c r="E211" s="20" t="s">
        <v>81</v>
      </c>
      <c r="F211" s="20" t="s">
        <v>100</v>
      </c>
      <c r="G211" s="16" t="s">
        <v>198</v>
      </c>
    </row>
    <row r="212" customFormat="false" ht="23.25" hidden="false" customHeight="true" outlineLevel="0" collapsed="false">
      <c r="A212" s="16"/>
      <c r="B212" s="16" t="s">
        <v>101</v>
      </c>
      <c r="C212" s="17" t="n">
        <v>0</v>
      </c>
      <c r="D212" s="18" t="n">
        <v>1</v>
      </c>
      <c r="E212" s="19" t="s">
        <v>208</v>
      </c>
      <c r="F212" s="19" t="s">
        <v>61</v>
      </c>
      <c r="G212" s="16" t="s">
        <v>198</v>
      </c>
    </row>
    <row r="214" customFormat="false" ht="23.25" hidden="false" customHeight="true" outlineLevel="0" collapsed="false">
      <c r="A214" s="15" t="s">
        <v>27</v>
      </c>
      <c r="B214" s="16" t="s">
        <v>59</v>
      </c>
      <c r="C214" s="17" t="n">
        <v>418.57</v>
      </c>
      <c r="D214" s="18" t="n">
        <v>418.57</v>
      </c>
      <c r="E214" s="19" t="s">
        <v>60</v>
      </c>
      <c r="F214" s="19" t="s">
        <v>61</v>
      </c>
      <c r="G214" s="16" t="s">
        <v>209</v>
      </c>
    </row>
    <row r="215" customFormat="false" ht="23.25" hidden="false" customHeight="true" outlineLevel="0" collapsed="false">
      <c r="A215" s="16"/>
      <c r="B215" s="16" t="s">
        <v>63</v>
      </c>
      <c r="C215" s="17" t="n">
        <v>4.59</v>
      </c>
      <c r="D215" s="18" t="n">
        <v>4.68</v>
      </c>
      <c r="E215" s="19" t="s">
        <v>210</v>
      </c>
      <c r="F215" s="19" t="s">
        <v>65</v>
      </c>
      <c r="G215" s="16" t="s">
        <v>209</v>
      </c>
    </row>
    <row r="216" customFormat="false" ht="23.25" hidden="false" customHeight="true" outlineLevel="0" collapsed="false">
      <c r="A216" s="16"/>
      <c r="B216" s="16" t="s">
        <v>66</v>
      </c>
      <c r="C216" s="17" t="n">
        <v>72.83</v>
      </c>
      <c r="D216" s="18" t="n">
        <v>72.83</v>
      </c>
      <c r="E216" s="19" t="s">
        <v>60</v>
      </c>
      <c r="F216" s="19" t="s">
        <v>61</v>
      </c>
      <c r="G216" s="16" t="s">
        <v>209</v>
      </c>
    </row>
    <row r="217" customFormat="false" ht="23.25" hidden="false" customHeight="true" outlineLevel="0" collapsed="false">
      <c r="A217" s="16"/>
      <c r="B217" s="16" t="s">
        <v>67</v>
      </c>
      <c r="C217" s="17" t="n">
        <v>89.8</v>
      </c>
      <c r="D217" s="18" t="n">
        <v>5</v>
      </c>
      <c r="E217" s="20" t="s">
        <v>211</v>
      </c>
      <c r="F217" s="16" t="s">
        <v>69</v>
      </c>
      <c r="G217" s="16" t="s">
        <v>209</v>
      </c>
    </row>
    <row r="218" customFormat="false" ht="23.25" hidden="false" customHeight="true" outlineLevel="0" collapsed="false">
      <c r="A218" s="16"/>
      <c r="B218" s="16" t="s">
        <v>70</v>
      </c>
      <c r="C218" s="17" t="n">
        <v>99.5</v>
      </c>
      <c r="D218" s="18" t="n">
        <v>95</v>
      </c>
      <c r="E218" s="19" t="s">
        <v>212</v>
      </c>
      <c r="F218" s="16" t="s">
        <v>69</v>
      </c>
      <c r="G218" s="16" t="s">
        <v>209</v>
      </c>
    </row>
    <row r="219" customFormat="false" ht="23.25" hidden="false" customHeight="true" outlineLevel="0" collapsed="false">
      <c r="A219" s="16"/>
      <c r="B219" s="16" t="s">
        <v>74</v>
      </c>
      <c r="C219" s="17" t="n">
        <v>1.36</v>
      </c>
      <c r="D219" s="18" t="n">
        <v>1.5</v>
      </c>
      <c r="E219" s="19" t="s">
        <v>213</v>
      </c>
      <c r="F219" s="20" t="s">
        <v>73</v>
      </c>
      <c r="G219" s="16" t="s">
        <v>209</v>
      </c>
    </row>
    <row r="220" customFormat="false" ht="23.25" hidden="false" customHeight="true" outlineLevel="0" collapsed="false">
      <c r="A220" s="16"/>
      <c r="B220" s="16" t="s">
        <v>76</v>
      </c>
      <c r="C220" s="17" t="n">
        <v>10.8</v>
      </c>
      <c r="D220" s="18" t="s">
        <v>77</v>
      </c>
      <c r="E220" s="16" t="s">
        <v>72</v>
      </c>
      <c r="F220" s="20" t="s">
        <v>73</v>
      </c>
      <c r="G220" s="16" t="s">
        <v>209</v>
      </c>
    </row>
    <row r="221" customFormat="false" ht="23.25" hidden="false" customHeight="true" outlineLevel="0" collapsed="false">
      <c r="A221" s="16"/>
      <c r="B221" s="16" t="s">
        <v>78</v>
      </c>
      <c r="C221" s="17" t="n">
        <v>0.05</v>
      </c>
      <c r="D221" s="18" t="s">
        <v>77</v>
      </c>
      <c r="E221" s="16" t="s">
        <v>72</v>
      </c>
      <c r="F221" s="20" t="s">
        <v>73</v>
      </c>
      <c r="G221" s="16" t="s">
        <v>209</v>
      </c>
    </row>
    <row r="222" customFormat="false" ht="23.25" hidden="false" customHeight="true" outlineLevel="0" collapsed="false">
      <c r="A222" s="16"/>
      <c r="B222" s="16" t="s">
        <v>79</v>
      </c>
      <c r="C222" s="17" t="s">
        <v>80</v>
      </c>
      <c r="D222" s="18" t="s">
        <v>77</v>
      </c>
      <c r="E222" s="20" t="s">
        <v>81</v>
      </c>
      <c r="F222" s="16" t="s">
        <v>82</v>
      </c>
      <c r="G222" s="16" t="s">
        <v>209</v>
      </c>
    </row>
    <row r="223" customFormat="false" ht="23.25" hidden="false" customHeight="true" outlineLevel="0" collapsed="false">
      <c r="A223" s="16"/>
      <c r="B223" s="16" t="s">
        <v>83</v>
      </c>
      <c r="C223" s="17" t="n">
        <v>7.2</v>
      </c>
      <c r="D223" s="18" t="n">
        <v>2</v>
      </c>
      <c r="E223" s="20" t="s">
        <v>214</v>
      </c>
      <c r="F223" s="16" t="s">
        <v>69</v>
      </c>
      <c r="G223" s="16" t="s">
        <v>209</v>
      </c>
    </row>
    <row r="224" customFormat="false" ht="23.25" hidden="false" customHeight="true" outlineLevel="0" collapsed="false">
      <c r="A224" s="16"/>
      <c r="B224" s="16" t="s">
        <v>85</v>
      </c>
      <c r="C224" s="17" t="s">
        <v>22</v>
      </c>
      <c r="D224" s="18" t="s">
        <v>15</v>
      </c>
      <c r="E224" s="20" t="s">
        <v>86</v>
      </c>
      <c r="F224" s="16" t="s">
        <v>69</v>
      </c>
      <c r="G224" s="16" t="s">
        <v>209</v>
      </c>
    </row>
    <row r="225" customFormat="false" ht="23.25" hidden="false" customHeight="true" outlineLevel="0" collapsed="false">
      <c r="A225" s="16"/>
      <c r="B225" s="16" t="s">
        <v>87</v>
      </c>
      <c r="C225" s="17" t="s">
        <v>22</v>
      </c>
      <c r="D225" s="18" t="s">
        <v>88</v>
      </c>
      <c r="E225" s="20" t="s">
        <v>81</v>
      </c>
      <c r="F225" s="20" t="s">
        <v>73</v>
      </c>
      <c r="G225" s="16" t="s">
        <v>209</v>
      </c>
    </row>
    <row r="226" customFormat="false" ht="23.25" hidden="false" customHeight="true" outlineLevel="0" collapsed="false">
      <c r="A226" s="16"/>
      <c r="B226" s="16" t="s">
        <v>89</v>
      </c>
      <c r="C226" s="17" t="s">
        <v>15</v>
      </c>
      <c r="D226" s="18" t="s">
        <v>15</v>
      </c>
      <c r="E226" s="19" t="s">
        <v>90</v>
      </c>
      <c r="F226" s="16" t="s">
        <v>69</v>
      </c>
      <c r="G226" s="16" t="s">
        <v>209</v>
      </c>
    </row>
    <row r="227" customFormat="false" ht="23.25" hidden="false" customHeight="true" outlineLevel="0" collapsed="false">
      <c r="A227" s="16"/>
      <c r="B227" s="16" t="s">
        <v>91</v>
      </c>
      <c r="C227" s="17" t="s">
        <v>15</v>
      </c>
      <c r="D227" s="18" t="s">
        <v>15</v>
      </c>
      <c r="E227" s="19" t="s">
        <v>90</v>
      </c>
      <c r="F227" s="19" t="s">
        <v>65</v>
      </c>
      <c r="G227" s="16" t="s">
        <v>209</v>
      </c>
    </row>
    <row r="228" customFormat="false" ht="23.25" hidden="false" customHeight="true" outlineLevel="0" collapsed="false">
      <c r="A228" s="16"/>
      <c r="B228" s="16" t="s">
        <v>92</v>
      </c>
      <c r="C228" s="17" t="s">
        <v>93</v>
      </c>
      <c r="D228" s="18" t="s">
        <v>215</v>
      </c>
      <c r="E228" s="19" t="s">
        <v>90</v>
      </c>
      <c r="F228" s="16" t="s">
        <v>69</v>
      </c>
      <c r="G228" s="16" t="s">
        <v>209</v>
      </c>
    </row>
    <row r="229" customFormat="false" ht="23.25" hidden="false" customHeight="true" outlineLevel="0" collapsed="false">
      <c r="A229" s="16"/>
      <c r="B229" s="16" t="s">
        <v>95</v>
      </c>
      <c r="C229" s="17" t="n">
        <v>575</v>
      </c>
      <c r="D229" s="18" t="n">
        <v>6000</v>
      </c>
      <c r="E229" s="20" t="s">
        <v>216</v>
      </c>
      <c r="F229" s="20" t="s">
        <v>73</v>
      </c>
      <c r="G229" s="16" t="s">
        <v>209</v>
      </c>
    </row>
    <row r="230" customFormat="false" ht="45.75" hidden="false" customHeight="true" outlineLevel="0" collapsed="false">
      <c r="A230" s="16"/>
      <c r="B230" s="16" t="s">
        <v>97</v>
      </c>
      <c r="C230" s="17" t="s">
        <v>217</v>
      </c>
      <c r="D230" s="18" t="s">
        <v>99</v>
      </c>
      <c r="E230" s="20" t="s">
        <v>81</v>
      </c>
      <c r="F230" s="20" t="s">
        <v>100</v>
      </c>
      <c r="G230" s="16" t="s">
        <v>209</v>
      </c>
    </row>
    <row r="231" customFormat="false" ht="23.25" hidden="false" customHeight="true" outlineLevel="0" collapsed="false">
      <c r="A231" s="16"/>
      <c r="B231" s="16" t="s">
        <v>101</v>
      </c>
      <c r="C231" s="17" t="n">
        <v>0</v>
      </c>
      <c r="D231" s="18" t="n">
        <v>0</v>
      </c>
      <c r="E231" s="19" t="s">
        <v>60</v>
      </c>
      <c r="F231" s="19" t="s">
        <v>61</v>
      </c>
      <c r="G231" s="16" t="s">
        <v>209</v>
      </c>
    </row>
    <row r="233" customFormat="false" ht="23.25" hidden="false" customHeight="true" outlineLevel="0" collapsed="false">
      <c r="A233" s="15" t="s">
        <v>28</v>
      </c>
      <c r="B233" s="16" t="s">
        <v>59</v>
      </c>
      <c r="C233" s="17" t="n">
        <v>365.41</v>
      </c>
      <c r="D233" s="18" t="n">
        <v>365.4</v>
      </c>
      <c r="E233" s="19" t="s">
        <v>124</v>
      </c>
      <c r="F233" s="19" t="s">
        <v>61</v>
      </c>
      <c r="G233" s="16" t="s">
        <v>218</v>
      </c>
    </row>
    <row r="234" customFormat="false" ht="23.25" hidden="false" customHeight="true" outlineLevel="0" collapsed="false">
      <c r="A234" s="16"/>
      <c r="B234" s="16" t="s">
        <v>63</v>
      </c>
      <c r="C234" s="17" t="n">
        <v>0.02</v>
      </c>
      <c r="D234" s="18" t="n">
        <v>0.87</v>
      </c>
      <c r="E234" s="20" t="s">
        <v>219</v>
      </c>
      <c r="F234" s="19" t="s">
        <v>65</v>
      </c>
      <c r="G234" s="16" t="s">
        <v>218</v>
      </c>
    </row>
    <row r="235" customFormat="false" ht="23.25" hidden="false" customHeight="true" outlineLevel="0" collapsed="false">
      <c r="A235" s="16"/>
      <c r="B235" s="16" t="s">
        <v>66</v>
      </c>
      <c r="C235" s="17" t="n">
        <v>132.96</v>
      </c>
      <c r="D235" s="18" t="n">
        <v>132.96</v>
      </c>
      <c r="E235" s="19" t="s">
        <v>60</v>
      </c>
      <c r="F235" s="19" t="s">
        <v>61</v>
      </c>
      <c r="G235" s="16" t="s">
        <v>218</v>
      </c>
    </row>
    <row r="236" customFormat="false" ht="23.25" hidden="false" customHeight="true" outlineLevel="0" collapsed="false">
      <c r="A236" s="16"/>
      <c r="B236" s="16" t="s">
        <v>67</v>
      </c>
      <c r="C236" s="17" t="n">
        <v>54.8</v>
      </c>
      <c r="D236" s="18" t="n">
        <v>60</v>
      </c>
      <c r="E236" s="19" t="s">
        <v>220</v>
      </c>
      <c r="F236" s="16" t="s">
        <v>69</v>
      </c>
      <c r="G236" s="16" t="s">
        <v>218</v>
      </c>
    </row>
    <row r="237" customFormat="false" ht="23.25" hidden="false" customHeight="true" outlineLevel="0" collapsed="false">
      <c r="A237" s="16"/>
      <c r="B237" s="16" t="s">
        <v>70</v>
      </c>
      <c r="C237" s="17" t="n">
        <v>27.5</v>
      </c>
      <c r="D237" s="18" t="n">
        <v>17</v>
      </c>
      <c r="E237" s="20" t="s">
        <v>221</v>
      </c>
      <c r="F237" s="16" t="s">
        <v>69</v>
      </c>
      <c r="G237" s="16" t="s">
        <v>218</v>
      </c>
    </row>
    <row r="238" customFormat="false" ht="23.25" hidden="false" customHeight="true" outlineLevel="0" collapsed="false">
      <c r="A238" s="16"/>
      <c r="B238" s="16" t="s">
        <v>74</v>
      </c>
      <c r="C238" s="17" t="n">
        <v>1.24</v>
      </c>
      <c r="D238" s="18" t="n">
        <v>0.36</v>
      </c>
      <c r="E238" s="20" t="s">
        <v>222</v>
      </c>
      <c r="F238" s="16" t="s">
        <v>69</v>
      </c>
      <c r="G238" s="16" t="s">
        <v>218</v>
      </c>
    </row>
    <row r="239" customFormat="false" ht="23.25" hidden="false" customHeight="true" outlineLevel="0" collapsed="false">
      <c r="A239" s="16"/>
      <c r="B239" s="16" t="s">
        <v>76</v>
      </c>
      <c r="C239" s="17" t="n">
        <v>3.02</v>
      </c>
      <c r="D239" s="18" t="s">
        <v>77</v>
      </c>
      <c r="E239" s="16" t="s">
        <v>72</v>
      </c>
      <c r="F239" s="20" t="s">
        <v>73</v>
      </c>
      <c r="G239" s="16" t="s">
        <v>218</v>
      </c>
    </row>
    <row r="240" customFormat="false" ht="23.25" hidden="false" customHeight="true" outlineLevel="0" collapsed="false">
      <c r="A240" s="16"/>
      <c r="B240" s="16" t="s">
        <v>78</v>
      </c>
      <c r="C240" s="17" t="n">
        <v>1.3</v>
      </c>
      <c r="D240" s="18" t="s">
        <v>77</v>
      </c>
      <c r="E240" s="16" t="s">
        <v>72</v>
      </c>
      <c r="F240" s="16" t="s">
        <v>69</v>
      </c>
      <c r="G240" s="16" t="s">
        <v>218</v>
      </c>
    </row>
    <row r="241" customFormat="false" ht="23.25" hidden="false" customHeight="true" outlineLevel="0" collapsed="false">
      <c r="A241" s="16"/>
      <c r="B241" s="16" t="s">
        <v>79</v>
      </c>
      <c r="C241" s="17" t="s">
        <v>109</v>
      </c>
      <c r="D241" s="18" t="s">
        <v>77</v>
      </c>
      <c r="E241" s="20" t="s">
        <v>81</v>
      </c>
      <c r="F241" s="16" t="s">
        <v>82</v>
      </c>
      <c r="G241" s="16" t="s">
        <v>218</v>
      </c>
    </row>
    <row r="242" customFormat="false" ht="23.25" hidden="false" customHeight="true" outlineLevel="0" collapsed="false">
      <c r="A242" s="16"/>
      <c r="B242" s="16" t="s">
        <v>83</v>
      </c>
      <c r="C242" s="17" t="n">
        <v>3.3</v>
      </c>
      <c r="D242" s="18" t="n">
        <v>1</v>
      </c>
      <c r="E242" s="20" t="s">
        <v>223</v>
      </c>
      <c r="F242" s="16" t="s">
        <v>69</v>
      </c>
      <c r="G242" s="16" t="s">
        <v>218</v>
      </c>
    </row>
    <row r="243" customFormat="false" ht="23.25" hidden="false" customHeight="true" outlineLevel="0" collapsed="false">
      <c r="A243" s="16"/>
      <c r="B243" s="16" t="s">
        <v>85</v>
      </c>
      <c r="C243" s="17" t="s">
        <v>15</v>
      </c>
      <c r="D243" s="18" t="s">
        <v>15</v>
      </c>
      <c r="E243" s="19" t="s">
        <v>90</v>
      </c>
      <c r="F243" s="16" t="s">
        <v>69</v>
      </c>
      <c r="G243" s="16" t="s">
        <v>218</v>
      </c>
    </row>
    <row r="244" customFormat="false" ht="23.25" hidden="false" customHeight="true" outlineLevel="0" collapsed="false">
      <c r="A244" s="16"/>
      <c r="B244" s="16" t="s">
        <v>87</v>
      </c>
      <c r="C244" s="17" t="s">
        <v>15</v>
      </c>
      <c r="D244" s="18" t="s">
        <v>133</v>
      </c>
      <c r="E244" s="19" t="s">
        <v>90</v>
      </c>
      <c r="F244" s="20" t="s">
        <v>73</v>
      </c>
      <c r="G244" s="16" t="s">
        <v>218</v>
      </c>
    </row>
    <row r="245" customFormat="false" ht="23.25" hidden="false" customHeight="true" outlineLevel="0" collapsed="false">
      <c r="A245" s="16"/>
      <c r="B245" s="16" t="s">
        <v>89</v>
      </c>
      <c r="C245" s="17" t="s">
        <v>15</v>
      </c>
      <c r="D245" s="18" t="s">
        <v>15</v>
      </c>
      <c r="E245" s="19" t="s">
        <v>90</v>
      </c>
      <c r="F245" s="16" t="s">
        <v>69</v>
      </c>
      <c r="G245" s="16" t="s">
        <v>218</v>
      </c>
    </row>
    <row r="246" customFormat="false" ht="23.25" hidden="false" customHeight="true" outlineLevel="0" collapsed="false">
      <c r="A246" s="16"/>
      <c r="B246" s="16" t="s">
        <v>91</v>
      </c>
      <c r="C246" s="17" t="s">
        <v>15</v>
      </c>
      <c r="D246" s="18" t="s">
        <v>15</v>
      </c>
      <c r="E246" s="19" t="s">
        <v>90</v>
      </c>
      <c r="F246" s="19" t="s">
        <v>65</v>
      </c>
      <c r="G246" s="16" t="s">
        <v>218</v>
      </c>
    </row>
    <row r="247" customFormat="false" ht="23.25" hidden="false" customHeight="true" outlineLevel="0" collapsed="false">
      <c r="A247" s="16"/>
      <c r="B247" s="16" t="s">
        <v>92</v>
      </c>
      <c r="C247" s="17" t="s">
        <v>73</v>
      </c>
      <c r="D247" s="18" t="s">
        <v>224</v>
      </c>
      <c r="E247" s="19" t="s">
        <v>90</v>
      </c>
      <c r="F247" s="16" t="s">
        <v>69</v>
      </c>
      <c r="G247" s="16" t="s">
        <v>218</v>
      </c>
    </row>
    <row r="248" customFormat="false" ht="23.25" hidden="false" customHeight="true" outlineLevel="0" collapsed="false">
      <c r="A248" s="16"/>
      <c r="B248" s="16" t="s">
        <v>95</v>
      </c>
      <c r="C248" s="17" t="n">
        <v>1487</v>
      </c>
      <c r="D248" s="18" t="n">
        <v>15000</v>
      </c>
      <c r="E248" s="20" t="s">
        <v>225</v>
      </c>
      <c r="F248" s="20" t="s">
        <v>73</v>
      </c>
      <c r="G248" s="16" t="s">
        <v>218</v>
      </c>
    </row>
    <row r="249" customFormat="false" ht="45.75" hidden="false" customHeight="true" outlineLevel="0" collapsed="false">
      <c r="A249" s="16"/>
      <c r="B249" s="16" t="s">
        <v>97</v>
      </c>
      <c r="C249" s="17" t="s">
        <v>226</v>
      </c>
      <c r="D249" s="18" t="s">
        <v>99</v>
      </c>
      <c r="E249" s="20" t="s">
        <v>81</v>
      </c>
      <c r="F249" s="20" t="s">
        <v>100</v>
      </c>
      <c r="G249" s="16" t="s">
        <v>218</v>
      </c>
    </row>
    <row r="250" customFormat="false" ht="23.25" hidden="false" customHeight="true" outlineLevel="0" collapsed="false">
      <c r="A250" s="16"/>
      <c r="B250" s="16" t="s">
        <v>101</v>
      </c>
      <c r="C250" s="17" t="n">
        <v>0</v>
      </c>
      <c r="D250" s="18" t="n">
        <v>1</v>
      </c>
      <c r="E250" s="19" t="s">
        <v>208</v>
      </c>
      <c r="F250" s="19" t="s">
        <v>61</v>
      </c>
      <c r="G250" s="16" t="s">
        <v>218</v>
      </c>
    </row>
    <row r="252" customFormat="false" ht="23.25" hidden="false" customHeight="true" outlineLevel="0" collapsed="false">
      <c r="A252" s="15" t="s">
        <v>29</v>
      </c>
      <c r="B252" s="16" t="s">
        <v>59</v>
      </c>
      <c r="C252" s="17" t="n">
        <v>284.75</v>
      </c>
      <c r="D252" s="18" t="n">
        <v>284.74</v>
      </c>
      <c r="E252" s="19" t="s">
        <v>124</v>
      </c>
      <c r="F252" s="19" t="s">
        <v>61</v>
      </c>
      <c r="G252" s="16" t="s">
        <v>227</v>
      </c>
    </row>
    <row r="253" customFormat="false" ht="23.25" hidden="false" customHeight="true" outlineLevel="0" collapsed="false">
      <c r="A253" s="16"/>
      <c r="B253" s="16" t="s">
        <v>63</v>
      </c>
      <c r="C253" s="17" t="n">
        <v>3.15</v>
      </c>
      <c r="D253" s="18" t="n">
        <v>2.82</v>
      </c>
      <c r="E253" s="19" t="s">
        <v>228</v>
      </c>
      <c r="F253" s="19" t="s">
        <v>65</v>
      </c>
      <c r="G253" s="16" t="s">
        <v>227</v>
      </c>
    </row>
    <row r="254" customFormat="false" ht="23.25" hidden="false" customHeight="true" outlineLevel="0" collapsed="false">
      <c r="A254" s="16"/>
      <c r="B254" s="16" t="s">
        <v>66</v>
      </c>
      <c r="C254" s="17" t="n">
        <v>32.67</v>
      </c>
      <c r="D254" s="18" t="n">
        <v>32.67</v>
      </c>
      <c r="E254" s="19" t="s">
        <v>60</v>
      </c>
      <c r="F254" s="19" t="s">
        <v>61</v>
      </c>
      <c r="G254" s="16" t="s">
        <v>227</v>
      </c>
    </row>
    <row r="255" customFormat="false" ht="23.25" hidden="false" customHeight="true" outlineLevel="0" collapsed="false">
      <c r="A255" s="16"/>
      <c r="B255" s="16" t="s">
        <v>67</v>
      </c>
      <c r="C255" s="17" t="n">
        <v>89.4</v>
      </c>
      <c r="D255" s="18" t="n">
        <v>95</v>
      </c>
      <c r="E255" s="19" t="s">
        <v>229</v>
      </c>
      <c r="F255" s="16" t="s">
        <v>69</v>
      </c>
      <c r="G255" s="16" t="s">
        <v>227</v>
      </c>
    </row>
    <row r="256" customFormat="false" ht="23.25" hidden="false" customHeight="true" outlineLevel="0" collapsed="false">
      <c r="A256" s="16"/>
      <c r="B256" s="16" t="s">
        <v>70</v>
      </c>
      <c r="C256" s="17" t="n">
        <v>97.2</v>
      </c>
      <c r="D256" s="18" t="n">
        <v>99</v>
      </c>
      <c r="E256" s="19" t="s">
        <v>230</v>
      </c>
      <c r="F256" s="16" t="s">
        <v>69</v>
      </c>
      <c r="G256" s="16" t="s">
        <v>227</v>
      </c>
    </row>
    <row r="257" customFormat="false" ht="23.25" hidden="false" customHeight="true" outlineLevel="0" collapsed="false">
      <c r="A257" s="16"/>
      <c r="B257" s="16" t="s">
        <v>74</v>
      </c>
      <c r="C257" s="17" t="n">
        <v>1.14</v>
      </c>
      <c r="D257" s="18" t="n">
        <v>1.1</v>
      </c>
      <c r="E257" s="19" t="s">
        <v>231</v>
      </c>
      <c r="F257" s="20" t="s">
        <v>73</v>
      </c>
      <c r="G257" s="16" t="s">
        <v>227</v>
      </c>
    </row>
    <row r="258" customFormat="false" ht="23.25" hidden="false" customHeight="true" outlineLevel="0" collapsed="false">
      <c r="A258" s="16"/>
      <c r="B258" s="16" t="s">
        <v>76</v>
      </c>
      <c r="C258" s="17" t="n">
        <v>4.53</v>
      </c>
      <c r="D258" s="18" t="s">
        <v>77</v>
      </c>
      <c r="E258" s="16" t="s">
        <v>72</v>
      </c>
      <c r="F258" s="20" t="s">
        <v>73</v>
      </c>
      <c r="G258" s="16" t="s">
        <v>227</v>
      </c>
    </row>
    <row r="259" customFormat="false" ht="23.25" hidden="false" customHeight="true" outlineLevel="0" collapsed="false">
      <c r="A259" s="16"/>
      <c r="B259" s="16" t="s">
        <v>78</v>
      </c>
      <c r="C259" s="17" t="n">
        <v>0.05</v>
      </c>
      <c r="D259" s="18" t="s">
        <v>77</v>
      </c>
      <c r="E259" s="16" t="s">
        <v>72</v>
      </c>
      <c r="F259" s="20" t="s">
        <v>73</v>
      </c>
      <c r="G259" s="16" t="s">
        <v>227</v>
      </c>
    </row>
    <row r="260" customFormat="false" ht="23.25" hidden="false" customHeight="true" outlineLevel="0" collapsed="false">
      <c r="A260" s="16"/>
      <c r="B260" s="16" t="s">
        <v>79</v>
      </c>
      <c r="C260" s="17" t="s">
        <v>80</v>
      </c>
      <c r="D260" s="18" t="s">
        <v>77</v>
      </c>
      <c r="E260" s="20" t="s">
        <v>81</v>
      </c>
      <c r="F260" s="16" t="s">
        <v>82</v>
      </c>
      <c r="G260" s="16" t="s">
        <v>227</v>
      </c>
    </row>
    <row r="261" customFormat="false" ht="23.25" hidden="false" customHeight="true" outlineLevel="0" collapsed="false">
      <c r="A261" s="16"/>
      <c r="B261" s="16" t="s">
        <v>83</v>
      </c>
      <c r="C261" s="17" t="n">
        <v>5.2</v>
      </c>
      <c r="D261" s="18" t="n">
        <v>40</v>
      </c>
      <c r="E261" s="20" t="s">
        <v>232</v>
      </c>
      <c r="F261" s="16" t="s">
        <v>69</v>
      </c>
      <c r="G261" s="16" t="s">
        <v>227</v>
      </c>
    </row>
    <row r="262" customFormat="false" ht="23.25" hidden="false" customHeight="true" outlineLevel="0" collapsed="false">
      <c r="A262" s="16"/>
      <c r="B262" s="16" t="s">
        <v>85</v>
      </c>
      <c r="C262" s="17" t="s">
        <v>22</v>
      </c>
      <c r="D262" s="18" t="s">
        <v>22</v>
      </c>
      <c r="E262" s="19" t="s">
        <v>90</v>
      </c>
      <c r="F262" s="16" t="s">
        <v>69</v>
      </c>
      <c r="G262" s="16" t="s">
        <v>227</v>
      </c>
    </row>
    <row r="263" customFormat="false" ht="23.25" hidden="false" customHeight="true" outlineLevel="0" collapsed="false">
      <c r="A263" s="16"/>
      <c r="B263" s="16" t="s">
        <v>87</v>
      </c>
      <c r="C263" s="17" t="s">
        <v>15</v>
      </c>
      <c r="D263" s="18" t="s">
        <v>233</v>
      </c>
      <c r="E263" s="20" t="s">
        <v>81</v>
      </c>
      <c r="F263" s="20" t="s">
        <v>73</v>
      </c>
      <c r="G263" s="16" t="s">
        <v>227</v>
      </c>
    </row>
    <row r="264" customFormat="false" ht="23.25" hidden="false" customHeight="true" outlineLevel="0" collapsed="false">
      <c r="A264" s="16"/>
      <c r="B264" s="16" t="s">
        <v>89</v>
      </c>
      <c r="C264" s="17" t="s">
        <v>15</v>
      </c>
      <c r="D264" s="18" t="s">
        <v>15</v>
      </c>
      <c r="E264" s="19" t="s">
        <v>90</v>
      </c>
      <c r="F264" s="16" t="s">
        <v>69</v>
      </c>
      <c r="G264" s="16" t="s">
        <v>227</v>
      </c>
    </row>
    <row r="265" customFormat="false" ht="23.25" hidden="false" customHeight="true" outlineLevel="0" collapsed="false">
      <c r="A265" s="16"/>
      <c r="B265" s="16" t="s">
        <v>91</v>
      </c>
      <c r="C265" s="17" t="s">
        <v>15</v>
      </c>
      <c r="D265" s="18" t="s">
        <v>15</v>
      </c>
      <c r="E265" s="19" t="s">
        <v>90</v>
      </c>
      <c r="F265" s="19" t="s">
        <v>65</v>
      </c>
      <c r="G265" s="16" t="s">
        <v>227</v>
      </c>
    </row>
    <row r="266" customFormat="false" ht="23.25" hidden="false" customHeight="true" outlineLevel="0" collapsed="false">
      <c r="A266" s="16"/>
      <c r="B266" s="16" t="s">
        <v>92</v>
      </c>
      <c r="C266" s="17" t="s">
        <v>73</v>
      </c>
      <c r="D266" s="18" t="s">
        <v>73</v>
      </c>
      <c r="E266" s="19" t="s">
        <v>90</v>
      </c>
      <c r="F266" s="16" t="s">
        <v>69</v>
      </c>
      <c r="G266" s="16" t="s">
        <v>227</v>
      </c>
    </row>
    <row r="267" customFormat="false" ht="23.25" hidden="false" customHeight="true" outlineLevel="0" collapsed="false">
      <c r="A267" s="16"/>
      <c r="B267" s="16" t="s">
        <v>95</v>
      </c>
      <c r="C267" s="17" t="n">
        <v>615</v>
      </c>
      <c r="D267" s="18" t="n">
        <v>720</v>
      </c>
      <c r="E267" s="19" t="s">
        <v>234</v>
      </c>
      <c r="F267" s="20" t="s">
        <v>73</v>
      </c>
      <c r="G267" s="16" t="s">
        <v>227</v>
      </c>
    </row>
    <row r="268" customFormat="false" ht="45.75" hidden="false" customHeight="true" outlineLevel="0" collapsed="false">
      <c r="A268" s="16"/>
      <c r="B268" s="16" t="s">
        <v>97</v>
      </c>
      <c r="C268" s="17" t="s">
        <v>235</v>
      </c>
      <c r="D268" s="18" t="s">
        <v>99</v>
      </c>
      <c r="E268" s="20" t="s">
        <v>81</v>
      </c>
      <c r="F268" s="20" t="s">
        <v>100</v>
      </c>
      <c r="G268" s="16" t="s">
        <v>227</v>
      </c>
    </row>
    <row r="269" customFormat="false" ht="23.25" hidden="false" customHeight="true" outlineLevel="0" collapsed="false">
      <c r="A269" s="16"/>
      <c r="B269" s="16" t="s">
        <v>101</v>
      </c>
      <c r="C269" s="17" t="n">
        <v>0</v>
      </c>
      <c r="D269" s="18" t="n">
        <v>0</v>
      </c>
      <c r="E269" s="19" t="s">
        <v>60</v>
      </c>
      <c r="F269" s="19" t="s">
        <v>61</v>
      </c>
      <c r="G269" s="16" t="s">
        <v>227</v>
      </c>
    </row>
    <row r="271" customFormat="false" ht="26.25" hidden="false" customHeight="true" outlineLevel="0" collapsed="false">
      <c r="A271" s="15" t="s">
        <v>30</v>
      </c>
      <c r="B271" s="16" t="s">
        <v>59</v>
      </c>
      <c r="C271" s="17" t="n">
        <v>151.16</v>
      </c>
      <c r="D271" s="18" t="n">
        <v>151.16</v>
      </c>
      <c r="E271" s="19" t="s">
        <v>60</v>
      </c>
      <c r="F271" s="19" t="s">
        <v>61</v>
      </c>
      <c r="G271" s="16" t="s">
        <v>236</v>
      </c>
    </row>
    <row r="272" customFormat="false" ht="23.25" hidden="false" customHeight="true" outlineLevel="0" collapsed="false">
      <c r="A272" s="16"/>
      <c r="B272" s="16" t="s">
        <v>63</v>
      </c>
      <c r="C272" s="17" t="n">
        <v>1.35</v>
      </c>
      <c r="D272" s="18" t="n">
        <v>0.46</v>
      </c>
      <c r="E272" s="20" t="s">
        <v>237</v>
      </c>
      <c r="F272" s="19" t="s">
        <v>65</v>
      </c>
      <c r="G272" s="16" t="s">
        <v>236</v>
      </c>
    </row>
    <row r="273" customFormat="false" ht="23.25" hidden="false" customHeight="true" outlineLevel="0" collapsed="false">
      <c r="A273" s="16"/>
      <c r="B273" s="16" t="s">
        <v>66</v>
      </c>
      <c r="C273" s="17" t="n">
        <v>49.33</v>
      </c>
      <c r="D273" s="18" t="n">
        <v>49.33</v>
      </c>
      <c r="E273" s="19" t="s">
        <v>60</v>
      </c>
      <c r="F273" s="19" t="s">
        <v>61</v>
      </c>
      <c r="G273" s="16" t="s">
        <v>236</v>
      </c>
    </row>
    <row r="274" customFormat="false" ht="23.25" hidden="false" customHeight="true" outlineLevel="0" collapsed="false">
      <c r="A274" s="16"/>
      <c r="B274" s="16" t="s">
        <v>67</v>
      </c>
      <c r="C274" s="17" t="n">
        <v>86.7</v>
      </c>
      <c r="D274" s="18" t="n">
        <v>88</v>
      </c>
      <c r="E274" s="19" t="s">
        <v>238</v>
      </c>
      <c r="F274" s="16" t="s">
        <v>69</v>
      </c>
      <c r="G274" s="16" t="s">
        <v>236</v>
      </c>
    </row>
    <row r="275" customFormat="false" ht="23.25" hidden="false" customHeight="true" outlineLevel="0" collapsed="false">
      <c r="A275" s="16"/>
      <c r="B275" s="16" t="s">
        <v>70</v>
      </c>
      <c r="C275" s="17" t="n">
        <v>71.5</v>
      </c>
      <c r="D275" s="18" t="s">
        <v>239</v>
      </c>
      <c r="E275" s="20" t="s">
        <v>240</v>
      </c>
      <c r="F275" s="16" t="s">
        <v>69</v>
      </c>
      <c r="G275" s="16" t="s">
        <v>236</v>
      </c>
    </row>
    <row r="276" customFormat="false" ht="23.25" hidden="false" customHeight="true" outlineLevel="0" collapsed="false">
      <c r="A276" s="16"/>
      <c r="B276" s="16" t="s">
        <v>74</v>
      </c>
      <c r="C276" s="17" t="n">
        <v>1.11</v>
      </c>
      <c r="D276" s="18" t="n">
        <v>1</v>
      </c>
      <c r="E276" s="19" t="s">
        <v>241</v>
      </c>
      <c r="F276" s="20" t="s">
        <v>73</v>
      </c>
      <c r="G276" s="16" t="s">
        <v>236</v>
      </c>
    </row>
    <row r="277" customFormat="false" ht="23.25" hidden="false" customHeight="true" outlineLevel="0" collapsed="false">
      <c r="A277" s="16"/>
      <c r="B277" s="16" t="s">
        <v>76</v>
      </c>
      <c r="C277" s="17" t="n">
        <v>2.68</v>
      </c>
      <c r="D277" s="18" t="s">
        <v>77</v>
      </c>
      <c r="E277" s="16" t="s">
        <v>72</v>
      </c>
      <c r="F277" s="20" t="s">
        <v>73</v>
      </c>
      <c r="G277" s="16" t="s">
        <v>236</v>
      </c>
    </row>
    <row r="278" customFormat="false" ht="23.25" hidden="false" customHeight="true" outlineLevel="0" collapsed="false">
      <c r="A278" s="16"/>
      <c r="B278" s="16" t="s">
        <v>78</v>
      </c>
      <c r="C278" s="17" t="n">
        <v>0.51</v>
      </c>
      <c r="D278" s="18" t="s">
        <v>77</v>
      </c>
      <c r="E278" s="16" t="s">
        <v>72</v>
      </c>
      <c r="F278" s="20" t="s">
        <v>73</v>
      </c>
      <c r="G278" s="16" t="s">
        <v>236</v>
      </c>
    </row>
    <row r="279" customFormat="false" ht="23.25" hidden="false" customHeight="true" outlineLevel="0" collapsed="false">
      <c r="A279" s="16"/>
      <c r="B279" s="16" t="s">
        <v>79</v>
      </c>
      <c r="C279" s="17" t="s">
        <v>80</v>
      </c>
      <c r="D279" s="18" t="s">
        <v>77</v>
      </c>
      <c r="E279" s="20" t="s">
        <v>81</v>
      </c>
      <c r="F279" s="16" t="s">
        <v>82</v>
      </c>
      <c r="G279" s="16" t="s">
        <v>236</v>
      </c>
    </row>
    <row r="280" customFormat="false" ht="23.25" hidden="false" customHeight="true" outlineLevel="0" collapsed="false">
      <c r="A280" s="16"/>
      <c r="B280" s="16" t="s">
        <v>83</v>
      </c>
      <c r="C280" s="17" t="n">
        <v>4</v>
      </c>
      <c r="D280" s="18" t="n">
        <v>2.5</v>
      </c>
      <c r="E280" s="20" t="s">
        <v>242</v>
      </c>
      <c r="F280" s="16" t="s">
        <v>69</v>
      </c>
      <c r="G280" s="16" t="s">
        <v>236</v>
      </c>
    </row>
    <row r="281" customFormat="false" ht="23.25" hidden="false" customHeight="true" outlineLevel="0" collapsed="false">
      <c r="A281" s="16"/>
      <c r="B281" s="16" t="s">
        <v>85</v>
      </c>
      <c r="C281" s="17" t="s">
        <v>15</v>
      </c>
      <c r="D281" s="18" t="s">
        <v>22</v>
      </c>
      <c r="E281" s="20" t="s">
        <v>86</v>
      </c>
      <c r="F281" s="16" t="s">
        <v>69</v>
      </c>
      <c r="G281" s="16" t="s">
        <v>236</v>
      </c>
    </row>
    <row r="282" customFormat="false" ht="23.25" hidden="false" customHeight="true" outlineLevel="0" collapsed="false">
      <c r="A282" s="16"/>
      <c r="B282" s="16" t="s">
        <v>87</v>
      </c>
      <c r="C282" s="17" t="s">
        <v>15</v>
      </c>
      <c r="D282" s="18" t="s">
        <v>243</v>
      </c>
      <c r="E282" s="19" t="s">
        <v>90</v>
      </c>
      <c r="F282" s="20" t="s">
        <v>73</v>
      </c>
      <c r="G282" s="16" t="s">
        <v>236</v>
      </c>
    </row>
    <row r="283" customFormat="false" ht="23.25" hidden="false" customHeight="true" outlineLevel="0" collapsed="false">
      <c r="A283" s="16"/>
      <c r="B283" s="16" t="s">
        <v>89</v>
      </c>
      <c r="C283" s="17" t="s">
        <v>15</v>
      </c>
      <c r="D283" s="18" t="s">
        <v>15</v>
      </c>
      <c r="E283" s="19" t="s">
        <v>90</v>
      </c>
      <c r="F283" s="16" t="s">
        <v>69</v>
      </c>
      <c r="G283" s="16" t="s">
        <v>236</v>
      </c>
    </row>
    <row r="284" customFormat="false" ht="23.25" hidden="false" customHeight="true" outlineLevel="0" collapsed="false">
      <c r="A284" s="16"/>
      <c r="B284" s="16" t="s">
        <v>91</v>
      </c>
      <c r="C284" s="17" t="s">
        <v>15</v>
      </c>
      <c r="D284" s="18" t="s">
        <v>15</v>
      </c>
      <c r="E284" s="19" t="s">
        <v>90</v>
      </c>
      <c r="F284" s="19" t="s">
        <v>65</v>
      </c>
      <c r="G284" s="16" t="s">
        <v>236</v>
      </c>
    </row>
    <row r="285" customFormat="false" ht="23.25" hidden="false" customHeight="true" outlineLevel="0" collapsed="false">
      <c r="A285" s="16"/>
      <c r="B285" s="16" t="s">
        <v>92</v>
      </c>
      <c r="C285" s="17" t="s">
        <v>73</v>
      </c>
      <c r="D285" s="18" t="s">
        <v>244</v>
      </c>
      <c r="E285" s="20" t="s">
        <v>81</v>
      </c>
      <c r="F285" s="16" t="s">
        <v>69</v>
      </c>
      <c r="G285" s="16" t="s">
        <v>236</v>
      </c>
    </row>
    <row r="286" customFormat="false" ht="23.25" hidden="false" customHeight="true" outlineLevel="0" collapsed="false">
      <c r="A286" s="16"/>
      <c r="B286" s="16" t="s">
        <v>95</v>
      </c>
      <c r="C286" s="17" t="n">
        <v>887</v>
      </c>
      <c r="D286" s="18" t="n">
        <v>1944</v>
      </c>
      <c r="E286" s="20" t="s">
        <v>245</v>
      </c>
      <c r="F286" s="20" t="s">
        <v>73</v>
      </c>
      <c r="G286" s="16" t="s">
        <v>236</v>
      </c>
    </row>
    <row r="287" customFormat="false" ht="45.75" hidden="false" customHeight="true" outlineLevel="0" collapsed="false">
      <c r="A287" s="16"/>
      <c r="B287" s="16" t="s">
        <v>97</v>
      </c>
      <c r="C287" s="17" t="s">
        <v>246</v>
      </c>
      <c r="D287" s="18" t="s">
        <v>99</v>
      </c>
      <c r="E287" s="20" t="s">
        <v>81</v>
      </c>
      <c r="F287" s="20" t="s">
        <v>100</v>
      </c>
      <c r="G287" s="16" t="s">
        <v>236</v>
      </c>
    </row>
    <row r="288" customFormat="false" ht="23.25" hidden="false" customHeight="true" outlineLevel="0" collapsed="false">
      <c r="A288" s="16"/>
      <c r="B288" s="16" t="s">
        <v>101</v>
      </c>
      <c r="C288" s="17" t="n">
        <v>0</v>
      </c>
      <c r="D288" s="18" t="n">
        <v>0</v>
      </c>
      <c r="E288" s="19" t="s">
        <v>60</v>
      </c>
      <c r="F288" s="19" t="s">
        <v>61</v>
      </c>
      <c r="G288" s="16" t="s">
        <v>236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60"/>
    <col collapsed="false" customWidth="true" hidden="false" outlineLevel="0" max="4" min="4" style="1" width="22"/>
    <col collapsed="false" customWidth="true" hidden="false" outlineLevel="0" max="5" min="5" style="1" width="80"/>
  </cols>
  <sheetData>
    <row r="1" customFormat="false" ht="15.75" hidden="false" customHeight="true" outlineLevel="0" collapsed="false">
      <c r="A1" s="9" t="s">
        <v>247</v>
      </c>
      <c r="B1" s="9"/>
      <c r="C1" s="9"/>
      <c r="D1" s="9"/>
      <c r="E1" s="9"/>
    </row>
    <row r="3" customFormat="false" ht="25.5" hidden="false" customHeight="true" outlineLevel="0" collapsed="false">
      <c r="A3" s="4" t="s">
        <v>2</v>
      </c>
      <c r="B3" s="4" t="s">
        <v>3</v>
      </c>
      <c r="C3" s="4" t="s">
        <v>248</v>
      </c>
      <c r="D3" s="4" t="s">
        <v>249</v>
      </c>
      <c r="E3" s="4" t="s">
        <v>250</v>
      </c>
    </row>
    <row r="4" customFormat="false" ht="94.5" hidden="false" customHeight="true" outlineLevel="0" collapsed="false">
      <c r="A4" s="21" t="n">
        <v>1</v>
      </c>
      <c r="B4" s="21" t="s">
        <v>14</v>
      </c>
      <c r="C4" s="21" t="s">
        <v>251</v>
      </c>
      <c r="D4" s="21" t="s">
        <v>252</v>
      </c>
      <c r="E4" s="21" t="s">
        <v>253</v>
      </c>
    </row>
    <row r="5" customFormat="false" ht="94.5" hidden="false" customHeight="true" outlineLevel="0" collapsed="false">
      <c r="A5" s="21" t="n">
        <v>2</v>
      </c>
      <c r="B5" s="21" t="s">
        <v>16</v>
      </c>
      <c r="C5" s="21" t="s">
        <v>254</v>
      </c>
      <c r="D5" s="21" t="s">
        <v>255</v>
      </c>
      <c r="E5" s="21" t="s">
        <v>256</v>
      </c>
    </row>
    <row r="6" customFormat="false" ht="94.5" hidden="false" customHeight="true" outlineLevel="0" collapsed="false">
      <c r="A6" s="21" t="n">
        <v>3</v>
      </c>
      <c r="B6" s="21" t="s">
        <v>17</v>
      </c>
      <c r="C6" s="21" t="s">
        <v>257</v>
      </c>
      <c r="D6" s="21" t="s">
        <v>258</v>
      </c>
      <c r="E6" s="21" t="s">
        <v>259</v>
      </c>
    </row>
    <row r="7" customFormat="false" ht="94.5" hidden="false" customHeight="true" outlineLevel="0" collapsed="false">
      <c r="A7" s="21" t="n">
        <v>4</v>
      </c>
      <c r="B7" s="21" t="s">
        <v>18</v>
      </c>
      <c r="C7" s="21" t="s">
        <v>260</v>
      </c>
      <c r="D7" s="21" t="s">
        <v>261</v>
      </c>
      <c r="E7" s="21" t="s">
        <v>262</v>
      </c>
    </row>
    <row r="8" customFormat="false" ht="94.5" hidden="false" customHeight="true" outlineLevel="0" collapsed="false">
      <c r="A8" s="21" t="n">
        <v>5</v>
      </c>
      <c r="B8" s="21" t="s">
        <v>19</v>
      </c>
      <c r="C8" s="21" t="s">
        <v>263</v>
      </c>
      <c r="D8" s="21" t="s">
        <v>264</v>
      </c>
      <c r="E8" s="21" t="s">
        <v>265</v>
      </c>
    </row>
    <row r="9" customFormat="false" ht="94.5" hidden="false" customHeight="true" outlineLevel="0" collapsed="false">
      <c r="A9" s="21" t="n">
        <v>6</v>
      </c>
      <c r="B9" s="21" t="s">
        <v>20</v>
      </c>
      <c r="C9" s="21" t="s">
        <v>266</v>
      </c>
      <c r="D9" s="21" t="s">
        <v>267</v>
      </c>
      <c r="E9" s="21" t="s">
        <v>268</v>
      </c>
    </row>
    <row r="10" customFormat="false" ht="94.5" hidden="false" customHeight="true" outlineLevel="0" collapsed="false">
      <c r="A10" s="21" t="n">
        <v>7</v>
      </c>
      <c r="B10" s="21" t="s">
        <v>21</v>
      </c>
      <c r="C10" s="21" t="s">
        <v>269</v>
      </c>
      <c r="D10" s="21" t="s">
        <v>270</v>
      </c>
      <c r="E10" s="21" t="s">
        <v>271</v>
      </c>
    </row>
    <row r="11" customFormat="false" ht="94.5" hidden="false" customHeight="true" outlineLevel="0" collapsed="false">
      <c r="A11" s="21" t="n">
        <v>8</v>
      </c>
      <c r="B11" s="21" t="s">
        <v>23</v>
      </c>
      <c r="C11" s="21" t="s">
        <v>272</v>
      </c>
      <c r="D11" s="21" t="s">
        <v>273</v>
      </c>
      <c r="E11" s="21" t="s">
        <v>274</v>
      </c>
    </row>
    <row r="12" customFormat="false" ht="94.5" hidden="false" customHeight="true" outlineLevel="0" collapsed="false">
      <c r="A12" s="21" t="n">
        <v>9</v>
      </c>
      <c r="B12" s="21" t="s">
        <v>24</v>
      </c>
      <c r="C12" s="21" t="s">
        <v>275</v>
      </c>
      <c r="D12" s="21" t="s">
        <v>276</v>
      </c>
      <c r="E12" s="21" t="s">
        <v>277</v>
      </c>
    </row>
    <row r="13" customFormat="false" ht="94.5" hidden="false" customHeight="true" outlineLevel="0" collapsed="false">
      <c r="A13" s="21" t="n">
        <v>10</v>
      </c>
      <c r="B13" s="21" t="s">
        <v>25</v>
      </c>
      <c r="C13" s="21" t="s">
        <v>278</v>
      </c>
      <c r="D13" s="21" t="s">
        <v>279</v>
      </c>
      <c r="E13" s="21" t="s">
        <v>280</v>
      </c>
    </row>
    <row r="14" customFormat="false" ht="94.5" hidden="false" customHeight="true" outlineLevel="0" collapsed="false">
      <c r="A14" s="21" t="n">
        <v>11</v>
      </c>
      <c r="B14" s="21" t="s">
        <v>26</v>
      </c>
      <c r="C14" s="21" t="s">
        <v>281</v>
      </c>
      <c r="D14" s="21" t="s">
        <v>282</v>
      </c>
      <c r="E14" s="21" t="s">
        <v>283</v>
      </c>
    </row>
    <row r="15" customFormat="false" ht="94.5" hidden="false" customHeight="true" outlineLevel="0" collapsed="false">
      <c r="A15" s="21" t="n">
        <v>12</v>
      </c>
      <c r="B15" s="21" t="s">
        <v>27</v>
      </c>
      <c r="C15" s="21" t="s">
        <v>284</v>
      </c>
      <c r="D15" s="21" t="s">
        <v>285</v>
      </c>
      <c r="E15" s="21" t="s">
        <v>286</v>
      </c>
    </row>
    <row r="16" customFormat="false" ht="94.5" hidden="false" customHeight="true" outlineLevel="0" collapsed="false">
      <c r="A16" s="21" t="n">
        <v>13</v>
      </c>
      <c r="B16" s="21" t="s">
        <v>28</v>
      </c>
      <c r="C16" s="21" t="s">
        <v>287</v>
      </c>
      <c r="D16" s="21" t="s">
        <v>288</v>
      </c>
      <c r="E16" s="21" t="s">
        <v>289</v>
      </c>
    </row>
    <row r="17" customFormat="false" ht="94.5" hidden="false" customHeight="true" outlineLevel="0" collapsed="false">
      <c r="A17" s="21" t="n">
        <v>14</v>
      </c>
      <c r="B17" s="21" t="s">
        <v>29</v>
      </c>
      <c r="C17" s="21" t="s">
        <v>290</v>
      </c>
      <c r="D17" s="21" t="s">
        <v>291</v>
      </c>
      <c r="E17" s="21" t="s">
        <v>292</v>
      </c>
    </row>
    <row r="18" customFormat="false" ht="94.5" hidden="false" customHeight="true" outlineLevel="0" collapsed="false">
      <c r="A18" s="21" t="n">
        <v>15</v>
      </c>
      <c r="B18" s="21" t="s">
        <v>30</v>
      </c>
      <c r="C18" s="21" t="s">
        <v>293</v>
      </c>
      <c r="D18" s="21" t="s">
        <v>294</v>
      </c>
      <c r="E18" s="21" t="s">
        <v>295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34"/>
    <col collapsed="false" customWidth="true" hidden="false" outlineLevel="0" max="5" min="5" style="0" width="22"/>
    <col collapsed="false" customWidth="true" hidden="false" outlineLevel="0" max="6" min="6" style="0" width="52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16.15" hidden="false" customHeight="false" outlineLevel="0" collapsed="false">
      <c r="A1" s="22" t="s">
        <v>296</v>
      </c>
      <c r="B1" s="22"/>
      <c r="C1" s="22"/>
      <c r="D1" s="22"/>
      <c r="E1" s="22"/>
      <c r="F1" s="22"/>
      <c r="G1" s="22"/>
      <c r="H1" s="22"/>
      <c r="I1" s="22"/>
    </row>
    <row r="2" customFormat="false" ht="48" hidden="false" customHeight="true" outlineLevel="0" collapsed="false">
      <c r="A2" s="23" t="s">
        <v>297</v>
      </c>
      <c r="B2" s="23"/>
      <c r="C2" s="23"/>
      <c r="D2" s="23"/>
      <c r="E2" s="23"/>
      <c r="F2" s="23"/>
      <c r="G2" s="23"/>
      <c r="H2" s="23"/>
      <c r="I2" s="23"/>
    </row>
    <row r="4" customFormat="false" ht="30" hidden="false" customHeight="true" outlineLevel="0" collapsed="false">
      <c r="A4" s="24" t="s">
        <v>2</v>
      </c>
      <c r="B4" s="24" t="s">
        <v>298</v>
      </c>
      <c r="C4" s="24" t="s">
        <v>299</v>
      </c>
      <c r="D4" s="24" t="s">
        <v>300</v>
      </c>
      <c r="E4" s="24" t="s">
        <v>301</v>
      </c>
      <c r="F4" s="24" t="s">
        <v>302</v>
      </c>
      <c r="G4" s="24" t="s">
        <v>303</v>
      </c>
      <c r="H4" s="24" t="s">
        <v>304</v>
      </c>
      <c r="I4" s="24" t="s">
        <v>305</v>
      </c>
    </row>
    <row r="5" customFormat="false" ht="57.75" hidden="false" customHeight="true" outlineLevel="0" collapsed="false">
      <c r="A5" s="21" t="n">
        <v>1</v>
      </c>
      <c r="B5" s="21" t="s">
        <v>306</v>
      </c>
      <c r="C5" s="21" t="s">
        <v>307</v>
      </c>
      <c r="D5" s="21" t="s">
        <v>308</v>
      </c>
      <c r="E5" s="21" t="s">
        <v>309</v>
      </c>
      <c r="F5" s="21" t="s">
        <v>310</v>
      </c>
      <c r="G5" s="25" t="s">
        <v>311</v>
      </c>
      <c r="H5" s="21" t="s">
        <v>312</v>
      </c>
      <c r="I5" s="21" t="s">
        <v>313</v>
      </c>
    </row>
    <row r="6" customFormat="false" ht="57.75" hidden="false" customHeight="true" outlineLevel="0" collapsed="false">
      <c r="A6" s="21" t="n">
        <v>2</v>
      </c>
      <c r="B6" s="21" t="s">
        <v>314</v>
      </c>
      <c r="C6" s="21" t="s">
        <v>315</v>
      </c>
      <c r="D6" s="21" t="s">
        <v>316</v>
      </c>
      <c r="E6" s="21" t="s">
        <v>317</v>
      </c>
      <c r="F6" s="21" t="s">
        <v>318</v>
      </c>
      <c r="G6" s="25" t="s">
        <v>319</v>
      </c>
      <c r="H6" s="21" t="s">
        <v>312</v>
      </c>
      <c r="I6" s="21" t="s">
        <v>320</v>
      </c>
    </row>
    <row r="7" customFormat="false" ht="57.75" hidden="false" customHeight="true" outlineLevel="0" collapsed="false">
      <c r="A7" s="21" t="n">
        <v>3</v>
      </c>
      <c r="B7" s="21" t="s">
        <v>321</v>
      </c>
      <c r="C7" s="21" t="s">
        <v>322</v>
      </c>
      <c r="D7" s="21" t="s">
        <v>323</v>
      </c>
      <c r="E7" s="21" t="s">
        <v>324</v>
      </c>
      <c r="F7" s="21" t="s">
        <v>325</v>
      </c>
      <c r="G7" s="25" t="s">
        <v>326</v>
      </c>
      <c r="H7" s="21" t="s">
        <v>327</v>
      </c>
      <c r="I7" s="21" t="s">
        <v>328</v>
      </c>
    </row>
    <row r="8" customFormat="false" ht="57.75" hidden="false" customHeight="true" outlineLevel="0" collapsed="false">
      <c r="A8" s="21" t="n">
        <v>4</v>
      </c>
      <c r="B8" s="21" t="s">
        <v>329</v>
      </c>
      <c r="C8" s="21" t="s">
        <v>330</v>
      </c>
      <c r="D8" s="21" t="s">
        <v>331</v>
      </c>
      <c r="E8" s="21" t="s">
        <v>332</v>
      </c>
      <c r="F8" s="21" t="s">
        <v>333</v>
      </c>
      <c r="G8" s="25" t="s">
        <v>326</v>
      </c>
      <c r="H8" s="21" t="s">
        <v>327</v>
      </c>
      <c r="I8" s="21" t="s">
        <v>334</v>
      </c>
    </row>
    <row r="9" customFormat="false" ht="57.75" hidden="false" customHeight="true" outlineLevel="0" collapsed="false">
      <c r="A9" s="21" t="n">
        <v>5</v>
      </c>
      <c r="B9" s="21" t="s">
        <v>335</v>
      </c>
      <c r="C9" s="21" t="s">
        <v>336</v>
      </c>
      <c r="D9" s="21" t="s">
        <v>337</v>
      </c>
      <c r="E9" s="21" t="s">
        <v>338</v>
      </c>
      <c r="F9" s="21" t="s">
        <v>339</v>
      </c>
      <c r="G9" s="25" t="s">
        <v>326</v>
      </c>
      <c r="H9" s="21" t="s">
        <v>327</v>
      </c>
      <c r="I9" s="21" t="s">
        <v>340</v>
      </c>
    </row>
    <row r="10" customFormat="false" ht="57.75" hidden="false" customHeight="true" outlineLevel="0" collapsed="false">
      <c r="A10" s="21" t="n">
        <v>6</v>
      </c>
      <c r="B10" s="21" t="s">
        <v>341</v>
      </c>
      <c r="C10" s="21" t="s">
        <v>342</v>
      </c>
      <c r="D10" s="21" t="s">
        <v>343</v>
      </c>
      <c r="E10" s="21" t="s">
        <v>338</v>
      </c>
      <c r="F10" s="21" t="s">
        <v>344</v>
      </c>
      <c r="G10" s="25" t="s">
        <v>326</v>
      </c>
      <c r="H10" s="21" t="s">
        <v>327</v>
      </c>
      <c r="I10" s="21" t="s">
        <v>345</v>
      </c>
    </row>
    <row r="11" customFormat="false" ht="57.75" hidden="false" customHeight="true" outlineLevel="0" collapsed="false">
      <c r="A11" s="21" t="n">
        <v>7</v>
      </c>
      <c r="B11" s="21" t="s">
        <v>346</v>
      </c>
      <c r="C11" s="21" t="s">
        <v>347</v>
      </c>
      <c r="D11" s="21" t="s">
        <v>348</v>
      </c>
      <c r="E11" s="21" t="s">
        <v>349</v>
      </c>
      <c r="F11" s="21" t="s">
        <v>350</v>
      </c>
      <c r="G11" s="25" t="s">
        <v>326</v>
      </c>
      <c r="H11" s="21" t="s">
        <v>327</v>
      </c>
      <c r="I11" s="21" t="s">
        <v>351</v>
      </c>
    </row>
    <row r="12" customFormat="false" ht="57.75" hidden="false" customHeight="true" outlineLevel="0" collapsed="false">
      <c r="A12" s="21" t="n">
        <v>8</v>
      </c>
      <c r="B12" s="21" t="s">
        <v>352</v>
      </c>
      <c r="C12" s="21" t="s">
        <v>347</v>
      </c>
      <c r="D12" s="21" t="s">
        <v>353</v>
      </c>
      <c r="E12" s="21" t="s">
        <v>338</v>
      </c>
      <c r="F12" s="21" t="s">
        <v>354</v>
      </c>
      <c r="G12" s="25" t="s">
        <v>326</v>
      </c>
      <c r="H12" s="21" t="s">
        <v>327</v>
      </c>
      <c r="I12" s="21" t="s">
        <v>351</v>
      </c>
    </row>
    <row r="13" customFormat="false" ht="57.75" hidden="false" customHeight="true" outlineLevel="0" collapsed="false">
      <c r="A13" s="21" t="n">
        <v>9</v>
      </c>
      <c r="B13" s="21" t="s">
        <v>355</v>
      </c>
      <c r="C13" s="21" t="s">
        <v>356</v>
      </c>
      <c r="D13" s="21" t="s">
        <v>357</v>
      </c>
      <c r="E13" s="21" t="s">
        <v>358</v>
      </c>
      <c r="F13" s="21" t="s">
        <v>359</v>
      </c>
      <c r="G13" s="25" t="s">
        <v>326</v>
      </c>
      <c r="H13" s="21" t="s">
        <v>327</v>
      </c>
      <c r="I13" s="21" t="s">
        <v>360</v>
      </c>
    </row>
    <row r="14" customFormat="false" ht="57.75" hidden="false" customHeight="true" outlineLevel="0" collapsed="false">
      <c r="A14" s="21" t="n">
        <v>10</v>
      </c>
      <c r="B14" s="21" t="s">
        <v>361</v>
      </c>
      <c r="C14" s="21" t="s">
        <v>362</v>
      </c>
      <c r="D14" s="21" t="s">
        <v>363</v>
      </c>
      <c r="E14" s="21" t="s">
        <v>349</v>
      </c>
      <c r="F14" s="21" t="s">
        <v>364</v>
      </c>
      <c r="G14" s="25" t="s">
        <v>326</v>
      </c>
      <c r="H14" s="21" t="s">
        <v>327</v>
      </c>
      <c r="I14" s="21" t="s">
        <v>365</v>
      </c>
    </row>
    <row r="15" customFormat="false" ht="57.75" hidden="false" customHeight="true" outlineLevel="0" collapsed="false">
      <c r="A15" s="21" t="n">
        <v>11</v>
      </c>
      <c r="B15" s="21" t="s">
        <v>366</v>
      </c>
      <c r="C15" s="21" t="s">
        <v>367</v>
      </c>
      <c r="D15" s="21" t="s">
        <v>368</v>
      </c>
      <c r="E15" s="21" t="s">
        <v>369</v>
      </c>
      <c r="F15" s="21" t="s">
        <v>370</v>
      </c>
      <c r="G15" s="25" t="s">
        <v>326</v>
      </c>
      <c r="H15" s="21" t="s">
        <v>327</v>
      </c>
      <c r="I15" s="21" t="s">
        <v>371</v>
      </c>
    </row>
    <row r="16" customFormat="false" ht="57.75" hidden="false" customHeight="true" outlineLevel="0" collapsed="false">
      <c r="A16" s="21" t="n">
        <v>12</v>
      </c>
      <c r="B16" s="21" t="s">
        <v>372</v>
      </c>
      <c r="C16" s="21" t="s">
        <v>373</v>
      </c>
      <c r="D16" s="21" t="s">
        <v>374</v>
      </c>
      <c r="E16" s="21" t="s">
        <v>309</v>
      </c>
      <c r="F16" s="21" t="s">
        <v>375</v>
      </c>
      <c r="G16" s="25" t="s">
        <v>326</v>
      </c>
      <c r="H16" s="21" t="s">
        <v>327</v>
      </c>
      <c r="I16" s="21" t="s">
        <v>376</v>
      </c>
    </row>
    <row r="17" customFormat="false" ht="57.75" hidden="false" customHeight="true" outlineLevel="0" collapsed="false">
      <c r="A17" s="21" t="n">
        <v>13</v>
      </c>
      <c r="B17" s="21" t="s">
        <v>377</v>
      </c>
      <c r="C17" s="21" t="s">
        <v>378</v>
      </c>
      <c r="D17" s="21" t="s">
        <v>379</v>
      </c>
      <c r="E17" s="21" t="s">
        <v>349</v>
      </c>
      <c r="F17" s="21" t="s">
        <v>380</v>
      </c>
      <c r="G17" s="25" t="s">
        <v>326</v>
      </c>
      <c r="H17" s="21" t="s">
        <v>327</v>
      </c>
      <c r="I17" s="21" t="s">
        <v>381</v>
      </c>
    </row>
    <row r="18" customFormat="false" ht="57.75" hidden="false" customHeight="true" outlineLevel="0" collapsed="false">
      <c r="A18" s="21" t="n">
        <v>14</v>
      </c>
      <c r="B18" s="21" t="s">
        <v>382</v>
      </c>
      <c r="C18" s="21" t="s">
        <v>383</v>
      </c>
      <c r="D18" s="21" t="s">
        <v>384</v>
      </c>
      <c r="E18" s="21" t="s">
        <v>385</v>
      </c>
      <c r="F18" s="21" t="s">
        <v>386</v>
      </c>
      <c r="G18" s="25" t="s">
        <v>326</v>
      </c>
      <c r="H18" s="21" t="s">
        <v>327</v>
      </c>
      <c r="I18" s="21" t="s">
        <v>387</v>
      </c>
    </row>
    <row r="20" customFormat="false" ht="15" hidden="false" customHeight="true" outlineLevel="0" collapsed="false">
      <c r="A20" s="26" t="s">
        <v>388</v>
      </c>
      <c r="B20" s="26"/>
      <c r="C20" s="26"/>
      <c r="D20" s="26"/>
      <c r="E20" s="26"/>
      <c r="F20" s="26"/>
      <c r="G20" s="26"/>
      <c r="H20" s="26"/>
      <c r="I20" s="26"/>
    </row>
    <row r="21" customFormat="false" ht="15" hidden="false" customHeight="false" outlineLevel="0" collapsed="false">
      <c r="A21" s="26"/>
      <c r="B21" s="26"/>
      <c r="C21" s="26"/>
      <c r="D21" s="26"/>
      <c r="E21" s="26"/>
      <c r="F21" s="26"/>
      <c r="G21" s="26"/>
      <c r="H21" s="26"/>
      <c r="I21" s="26"/>
    </row>
    <row r="22" customFormat="false" ht="15" hidden="false" customHeight="false" outlineLevel="0" collapsed="false">
      <c r="A22" s="26"/>
      <c r="B22" s="26"/>
      <c r="C22" s="26"/>
      <c r="D22" s="26"/>
      <c r="E22" s="26"/>
      <c r="F22" s="26"/>
      <c r="G22" s="26"/>
      <c r="H22" s="26"/>
      <c r="I22" s="26"/>
    </row>
  </sheetData>
  <mergeCells count="3">
    <mergeCell ref="A1:I1"/>
    <mergeCell ref="A2:I2"/>
    <mergeCell ref="A20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2026-05-20T12:05:21Z</dcterms:created>
  <dc:creator>openpyxl</dc:creator>
  <dc:description/>
  <dc:language>en-US</dc:language>
  <cp:lastModifiedBy/>
  <dcterms:modified xsi:type="dcterms:W3CDTF">2026-05-20T17:13:40Z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