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arch Categories" sheetId="2" state="visible" r:id="rId2"/>
    <sheet xmlns:r="http://schemas.openxmlformats.org/officeDocument/2006/relationships" name="Structure" sheetId="3" state="visible" r:id="rId3"/>
    <sheet xmlns:r="http://schemas.openxmlformats.org/officeDocument/2006/relationships" name="Target" sheetId="4" state="visible" r:id="rId4"/>
    <sheet xmlns:r="http://schemas.openxmlformats.org/officeDocument/2006/relationships" name="Bibliography" sheetId="5" state="visible" r:id="rId5"/>
    <sheet xmlns:r="http://schemas.openxmlformats.org/officeDocument/2006/relationships" name="Company" sheetId="6" state="visible" r:id="rId6"/>
    <sheet xmlns:r="http://schemas.openxmlformats.org/officeDocument/2006/relationships" name="Molecule Category" sheetId="7" state="visible" r:id="rId7"/>
    <sheet xmlns:r="http://schemas.openxmlformats.org/officeDocument/2006/relationships" name="Clinical Phase" sheetId="8" state="visible" r:id="rId8"/>
    <sheet xmlns:r="http://schemas.openxmlformats.org/officeDocument/2006/relationships" name="Assay" sheetId="9" state="visible" r:id="rId9"/>
    <sheet xmlns:r="http://schemas.openxmlformats.org/officeDocument/2006/relationships" name="Pharmacokinetics" sheetId="10" state="visible" r:id="rId10"/>
    <sheet xmlns:r="http://schemas.openxmlformats.org/officeDocument/2006/relationships" name="Toxicity" sheetId="11" state="visible" r:id="rId11"/>
    <sheet xmlns:r="http://schemas.openxmlformats.org/officeDocument/2006/relationships" name="Results Grid" sheetId="12" state="visible" r:id="rId12"/>
    <sheet xmlns:r="http://schemas.openxmlformats.org/officeDocument/2006/relationships" name="Compound Detail" sheetId="13" state="visible" r:id="rId13"/>
    <sheet xmlns:r="http://schemas.openxmlformats.org/officeDocument/2006/relationships" name="Account &amp; Saved" sheetId="14" state="visible" r:id="rId14"/>
    <sheet xmlns:r="http://schemas.openxmlformats.org/officeDocument/2006/relationships" name="Hakase Bio Mappin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8"/>
      <sz val="20"/>
    </font>
    <font>
      <name val="Arial"/>
      <i val="1"/>
      <color rgb="001F4E78"/>
      <sz val="12"/>
    </font>
    <font>
      <name val="Arial"/>
      <b val="1"/>
      <sz val="11"/>
    </font>
    <font>
      <name val="Arial"/>
      <sz val="10"/>
    </font>
    <font>
      <name val="Arial"/>
      <b val="1"/>
      <color rgb="001F4E78"/>
      <sz val="11"/>
    </font>
    <font>
      <name val="Arial"/>
      <b val="1"/>
      <color rgb="00FFFFFF"/>
      <sz val="11"/>
    </font>
    <font>
      <name val="Arial"/>
      <b val="1"/>
      <color rgb="001F4E78"/>
      <sz val="16"/>
    </font>
    <font>
      <name val="Arial"/>
      <i val="1"/>
      <sz val="10"/>
    </font>
    <font>
      <name val="Arial"/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  <col width="60" customWidth="1" min="3" max="3"/>
  </cols>
  <sheetData>
    <row r="1">
      <c r="A1" s="1" t="inlineStr">
        <is>
          <t>GOSTAR™ Small Molecules Dashboard</t>
        </is>
      </c>
    </row>
    <row r="2">
      <c r="A2" s="2" t="inlineStr">
        <is>
          <t>Comprehensive Data &amp; Variable Audit — Mapped to Hakase Bio Workflows</t>
        </is>
      </c>
    </row>
    <row r="4">
      <c r="A4" s="3" t="inlineStr">
        <is>
          <t>Prepared for:</t>
        </is>
      </c>
      <c r="B4" s="4" t="inlineStr">
        <is>
          <t>Pranay (pranay.d@interakt.co.in) — Hakase Bio</t>
        </is>
      </c>
    </row>
    <row r="5">
      <c r="A5" s="3" t="inlineStr">
        <is>
          <t>Source:</t>
        </is>
      </c>
      <c r="B5" s="4" t="inlineStr">
        <is>
          <t>https://smallmol.gostardb.com/ (Excelra Knowledge Solutions)</t>
        </is>
      </c>
    </row>
    <row r="6">
      <c r="A6" s="3" t="inlineStr">
        <is>
          <t>Date captured:</t>
        </is>
      </c>
      <c r="B6" s="4" t="inlineStr">
        <is>
          <t>June 16, 2026</t>
        </is>
      </c>
    </row>
    <row r="7">
      <c r="A7" s="3" t="inlineStr">
        <is>
          <t>Coverage:</t>
        </is>
      </c>
      <c r="B7" s="4" t="inlineStr">
        <is>
          <t>Home, 9 search modules, results grid, compound detail page, account menus</t>
        </is>
      </c>
    </row>
    <row r="9">
      <c r="A9" s="5" t="inlineStr">
        <is>
          <t>Database scale (homepage 'Latest numbers')</t>
        </is>
      </c>
    </row>
    <row r="11" ht="30" customHeight="1">
      <c r="A11" s="6" t="inlineStr">
        <is>
          <t>Counter</t>
        </is>
      </c>
      <c r="B11" s="6" t="inlineStr">
        <is>
          <t>Value</t>
        </is>
      </c>
      <c r="C11" s="6" t="inlineStr">
        <is>
          <t>What it counts</t>
        </is>
      </c>
    </row>
    <row r="12">
      <c r="A12" s="7" t="inlineStr">
        <is>
          <t>Structures</t>
        </is>
      </c>
      <c r="B12" s="7" t="inlineStr">
        <is>
          <t>7,959,143</t>
        </is>
      </c>
      <c r="C12" s="7" t="inlineStr">
        <is>
          <t>Unique small-molecule structures</t>
        </is>
      </c>
    </row>
    <row r="13">
      <c r="A13" s="7" t="inlineStr">
        <is>
          <t>Activities</t>
        </is>
      </c>
      <c r="B13" s="7" t="inlineStr">
        <is>
          <t>37,060,564</t>
        </is>
      </c>
      <c r="C13" s="7" t="inlineStr">
        <is>
          <t>Bioactivity / assay data points</t>
        </is>
      </c>
    </row>
    <row r="14">
      <c r="A14" s="7" t="inlineStr">
        <is>
          <t>Assays</t>
        </is>
      </c>
      <c r="B14" s="7" t="inlineStr">
        <is>
          <t>4,461,940</t>
        </is>
      </c>
      <c r="C14" s="7" t="inlineStr">
        <is>
          <t>Distinct assay definitions</t>
        </is>
      </c>
    </row>
    <row r="15">
      <c r="A15" s="7" t="inlineStr">
        <is>
          <t>Documents</t>
        </is>
      </c>
      <c r="B15" s="7" t="inlineStr">
        <is>
          <t>441,860</t>
        </is>
      </c>
      <c r="C15" s="7" t="inlineStr">
        <is>
          <t>Source patents + journal articles</t>
        </is>
      </c>
    </row>
    <row r="16">
      <c r="A16" s="7" t="inlineStr">
        <is>
          <t>Development Compounds</t>
        </is>
      </c>
      <c r="B16" s="7" t="inlineStr">
        <is>
          <t>60,422</t>
        </is>
      </c>
      <c r="C16" s="7" t="inlineStr">
        <is>
          <t>Compounds with development / clinical status</t>
        </is>
      </c>
    </row>
    <row r="19">
      <c r="A19" s="5" t="inlineStr">
        <is>
          <t>Workbook contents</t>
        </is>
      </c>
    </row>
    <row r="21" ht="30" customHeight="1">
      <c r="A21" s="6" t="inlineStr">
        <is>
          <t>Sheet</t>
        </is>
      </c>
      <c r="B21" s="6" t="inlineStr">
        <is>
          <t>What's inside</t>
        </is>
      </c>
    </row>
    <row r="22">
      <c r="A22" s="7" t="inlineStr">
        <is>
          <t>Cover</t>
        </is>
      </c>
      <c r="B22" s="7" t="inlineStr">
        <is>
          <t>This sheet — scale + workbook map</t>
        </is>
      </c>
    </row>
    <row r="23">
      <c r="A23" s="7" t="inlineStr">
        <is>
          <t>Search Categories</t>
        </is>
      </c>
      <c r="B23" s="7" t="inlineStr">
        <is>
          <t>9 top-level search modules and their roles</t>
        </is>
      </c>
    </row>
    <row r="24">
      <c r="A24" s="7" t="inlineStr">
        <is>
          <t>Structure</t>
        </is>
      </c>
      <c r="B24" s="7" t="inlineStr">
        <is>
          <t>Structure module: 6 tabs, 20+ fields incl. SMILES/InChI/CAS/Lipinski</t>
        </is>
      </c>
    </row>
    <row r="25">
      <c r="A25" s="7" t="inlineStr">
        <is>
          <t>Target</t>
        </is>
      </c>
      <c r="B25" s="7" t="inlineStr">
        <is>
          <t>Target/Enzyme/Protein module: 3 tabs, ID fields, Restricted-to scopes</t>
        </is>
      </c>
    </row>
    <row r="26">
      <c r="A26" s="7" t="inlineStr">
        <is>
          <t>Bibliography</t>
        </is>
      </c>
      <c r="B26" s="7" t="inlineStr">
        <is>
          <t>Bibliography: 5 tabs (Patent, PubMed/DOI, MeSH, Author/Year, Custom)</t>
        </is>
      </c>
    </row>
    <row r="27">
      <c r="A27" s="7" t="inlineStr">
        <is>
          <t>Company</t>
        </is>
      </c>
      <c r="B27" s="7" t="inlineStr">
        <is>
          <t>Company name lookup</t>
        </is>
      </c>
    </row>
    <row r="28">
      <c r="A28" s="7" t="inlineStr">
        <is>
          <t>Molecule Category</t>
        </is>
      </c>
      <c r="B28" s="7" t="inlineStr">
        <is>
          <t>Drug / Clinical / Preclinical / Toxicity</t>
        </is>
      </c>
    </row>
    <row r="29">
      <c r="A29" s="7" t="inlineStr">
        <is>
          <t>Clinical Phase</t>
        </is>
      </c>
      <c r="B29" s="7" t="inlineStr">
        <is>
          <t>11 phase / status values</t>
        </is>
      </c>
    </row>
    <row r="30">
      <c r="A30" s="7" t="inlineStr">
        <is>
          <t>Assay</t>
        </is>
      </c>
      <c r="B30" s="7" t="inlineStr">
        <is>
          <t>16 assay-type values (binding, ADME, calculated, etc.)</t>
        </is>
      </c>
    </row>
    <row r="31">
      <c r="A31" s="7" t="inlineStr">
        <is>
          <t>Pharmacokinetics</t>
        </is>
      </c>
      <c r="B31" s="7" t="inlineStr">
        <is>
          <t>ADME tree: Absorption / Distribution / Metabolism / Excretion / Elimination</t>
        </is>
      </c>
    </row>
    <row r="32">
      <c r="A32" s="7" t="inlineStr">
        <is>
          <t>Toxicity</t>
        </is>
      </c>
      <c r="B32" s="7" t="inlineStr">
        <is>
          <t>6 toxicity categories (cyto, geno, organ, mutagen, target, target-based)</t>
        </is>
      </c>
    </row>
    <row r="33">
      <c r="A33" s="7" t="inlineStr">
        <is>
          <t>Results Grid</t>
        </is>
      </c>
      <c r="B33" s="7" t="inlineStr">
        <is>
          <t>5 result tabs + every column available across them</t>
        </is>
      </c>
    </row>
    <row r="34">
      <c r="A34" s="7" t="inlineStr">
        <is>
          <t>Compound Detail</t>
        </is>
      </c>
      <c r="B34" s="7" t="inlineStr">
        <is>
          <t>All fields on the per-compound leaflet page</t>
        </is>
      </c>
    </row>
    <row r="35">
      <c r="A35" s="7" t="inlineStr">
        <is>
          <t>Account &amp; Saved</t>
        </is>
      </c>
      <c r="B35" s="7" t="inlineStr">
        <is>
          <t>User menu + Saved searches dropdown</t>
        </is>
      </c>
    </row>
    <row r="36">
      <c r="A36" s="7" t="inlineStr">
        <is>
          <t>Hakase Bio Mapping</t>
        </is>
      </c>
      <c r="B36" s="7" t="inlineStr">
        <is>
          <t>Where &amp; when each module is useful for Hakase Bio workflows</t>
        </is>
      </c>
    </row>
  </sheetData>
  <mergeCells count="4">
    <mergeCell ref="A19:F19"/>
    <mergeCell ref="A2:F2"/>
    <mergeCell ref="A1:F1"/>
    <mergeCell ref="A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6" customWidth="1" min="1" max="1"/>
    <col width="56" customWidth="1" min="2" max="2"/>
    <col width="60" customWidth="1" min="3" max="3"/>
  </cols>
  <sheetData>
    <row r="1" ht="26" customHeight="1">
      <c r="A1" s="8" t="inlineStr">
        <is>
          <t>Top-level search modules (homepage 'Construct your search' cards)</t>
        </is>
      </c>
    </row>
    <row r="3" ht="30" customHeight="1">
      <c r="A3" s="6" t="inlineStr">
        <is>
          <t>Module</t>
        </is>
      </c>
      <c r="B3" s="6" t="inlineStr">
        <is>
          <t>Fields / sub-categories</t>
        </is>
      </c>
      <c r="C3" s="6" t="inlineStr">
        <is>
          <t>Primary use</t>
        </is>
      </c>
    </row>
    <row r="4">
      <c r="A4" s="7" t="inlineStr">
        <is>
          <t>Structure</t>
        </is>
      </c>
      <c r="B4" s="7" t="inlineStr">
        <is>
          <t>Name, SMILES, InChI Key, CAS ID — and physicochem/structural property filters</t>
        </is>
      </c>
      <c r="C4" s="7" t="inlineStr">
        <is>
          <t>Find a molecule, sub-structure, or chemically-similar compound; pull all data tied to it.</t>
        </is>
      </c>
    </row>
    <row r="5">
      <c r="A5" s="7" t="inlineStr">
        <is>
          <t>Target, Enzyme, Protein</t>
        </is>
      </c>
      <c r="B5" s="7" t="inlineStr">
        <is>
          <t>Name, UniProt ID, Gene ID, PDB, Entrez Gene</t>
        </is>
      </c>
      <c r="C5" s="7" t="inlineStr">
        <is>
          <t>Pull all small molecules + activity data against a biological target.</t>
        </is>
      </c>
    </row>
    <row r="6">
      <c r="A6" s="7" t="inlineStr">
        <is>
          <t>Bibliography</t>
        </is>
      </c>
      <c r="B6" s="7" t="inlineStr">
        <is>
          <t>Patent ID, PubMed ID, DOI, MeSH, Author, Year, Journal, Volume, Issue</t>
        </is>
      </c>
      <c r="C6" s="7" t="inlineStr">
        <is>
          <t>Mine a specific patent / paper for its compounds; surface a competitor's IP.</t>
        </is>
      </c>
    </row>
    <row r="7">
      <c r="A7" s="7" t="inlineStr">
        <is>
          <t>Company</t>
        </is>
      </c>
      <c r="B7" s="7" t="inlineStr">
        <is>
          <t>Free-text company name (e.g. Pfizer)</t>
        </is>
      </c>
      <c r="C7" s="7" t="inlineStr">
        <is>
          <t>Competitive intel — what is Company X publishing/patenting on which target?</t>
        </is>
      </c>
    </row>
    <row r="8">
      <c r="A8" s="7" t="inlineStr">
        <is>
          <t>Molecule Category</t>
        </is>
      </c>
      <c r="B8" s="7" t="inlineStr">
        <is>
          <t>Drug / Clinical / Preclinical / Toxicity</t>
        </is>
      </c>
      <c r="C8" s="7" t="inlineStr">
        <is>
          <t>Restrict to development-stage compounds only (i.e. drug-like prior art).</t>
        </is>
      </c>
    </row>
    <row r="9">
      <c r="A9" s="7" t="inlineStr">
        <is>
          <t>Clinical Phase or Status</t>
        </is>
      </c>
      <c r="B9" s="7" t="inlineStr">
        <is>
          <t>Phase I/II/III/IV, Pre-registration, Launched, Suspended, Withdrawn, Discontinued, No Development, Unknown</t>
        </is>
      </c>
      <c r="C9" s="7" t="inlineStr">
        <is>
          <t>Pipeline benchmarking; understand attrition; find launched competitors.</t>
        </is>
      </c>
    </row>
    <row r="10">
      <c r="A10" s="7" t="inlineStr">
        <is>
          <t>Assay</t>
        </is>
      </c>
      <c r="B10" s="7" t="inlineStr">
        <is>
          <t>Binding, Functional, ADME, Toxicity, Calculated, Experimental, Qualitative, Other</t>
        </is>
      </c>
      <c r="C10" s="7" t="inlineStr">
        <is>
          <t>Activity / SAR exploration; find assays comparable to yours.</t>
        </is>
      </c>
    </row>
    <row r="11">
      <c r="A11" s="7" t="inlineStr">
        <is>
          <t>Pharmacokinetics</t>
        </is>
      </c>
      <c r="B11" s="7" t="inlineStr">
        <is>
          <t>Absorption / Distribution / Metabolism / Excretion / Elimination sub-tree</t>
        </is>
      </c>
      <c r="C11" s="7" t="inlineStr">
        <is>
          <t>ADME profile lookup; CYP and PK precedent for analog series.</t>
        </is>
      </c>
    </row>
    <row r="12">
      <c r="A12" s="7" t="inlineStr">
        <is>
          <t>Toxicity</t>
        </is>
      </c>
      <c r="B12" s="7" t="inlineStr">
        <is>
          <t>Cytotoxicity &amp; Cell Viability, Genotoxic assay, Mutagenicity/Genotoxicity, Organ Toxicity, Target Toxicity, Target-based</t>
        </is>
      </c>
      <c r="C12" s="7" t="inlineStr">
        <is>
          <t>Safety flags / hERG / liver-tox precedent before committing to a series.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  <col width="80" customWidth="1" min="3" max="3"/>
  </cols>
  <sheetData>
    <row r="1" ht="26" customHeight="1">
      <c r="A1" s="8" t="inlineStr">
        <is>
          <t>Structure Criteria — 6 tabs</t>
        </is>
      </c>
    </row>
    <row r="3" ht="30" customHeight="1">
      <c r="A3" s="6" t="inlineStr">
        <is>
          <t>Tab</t>
        </is>
      </c>
      <c r="B3" s="6" t="inlineStr">
        <is>
          <t>Input field</t>
        </is>
      </c>
      <c r="C3" s="6" t="inlineStr">
        <is>
          <t>Filter options / range</t>
        </is>
      </c>
    </row>
    <row r="4">
      <c r="A4" s="7" t="inlineStr">
        <is>
          <t>Name</t>
        </is>
      </c>
      <c r="B4" s="7" t="inlineStr">
        <is>
          <t>Free-text molecule name (e.g. 'Lipitor')</t>
        </is>
      </c>
      <c r="C4" s="7" t="inlineStr">
        <is>
          <t>Search options: Exact Structure / Sub-Structure / Similarity Percentage. Restricted To: Desalted / Skeleton / Framework1 / Framework2. Draw Structure tool available.</t>
        </is>
      </c>
    </row>
    <row r="5">
      <c r="A5" s="7" t="inlineStr">
        <is>
          <t>SMILES or SMARTS</t>
        </is>
      </c>
      <c r="B5" s="7" t="inlineStr">
        <is>
          <t>SMILES/SMARTS string (e.g. C1=NC2=C(N1COCCO)N=C(NC2=O)N)</t>
        </is>
      </c>
      <c r="C5" s="7" t="inlineStr">
        <is>
          <t>Same search-options + Restricted-To filters as Name tab.</t>
        </is>
      </c>
    </row>
    <row r="6">
      <c r="A6" s="7" t="inlineStr">
        <is>
          <t>InChi Key</t>
        </is>
      </c>
      <c r="B6" s="7" t="inlineStr">
        <is>
          <t>InChI Key (e.g. MKUXAQIIEYXACX-UHFFFAOYSA-N)</t>
        </is>
      </c>
      <c r="C6" s="7" t="inlineStr">
        <is>
          <t>Plain text lookup, single field.</t>
        </is>
      </c>
    </row>
    <row r="7">
      <c r="A7" s="7" t="inlineStr">
        <is>
          <t>CAS or STR ID</t>
        </is>
      </c>
      <c r="B7" s="7" t="inlineStr">
        <is>
          <t>CAS ID (e.g. 123016-21-7) OR internal STR ID</t>
        </is>
      </c>
      <c r="C7" s="7" t="inlineStr">
        <is>
          <t>Dropdown switches between CAS ID and STR ID.</t>
        </is>
      </c>
    </row>
    <row r="8">
      <c r="A8" s="7" t="inlineStr">
        <is>
          <t>Physicochemical Property</t>
        </is>
      </c>
      <c r="B8" s="7" t="inlineStr">
        <is>
          <t>Sliders with experimental ranges:</t>
        </is>
      </c>
      <c r="C8" s="7" t="inlineStr">
        <is>
          <t>Most Acidic pKa (-3.39 to 15.29); LogD (-56.88 to 42.51); Solubility Aqs. (-67.35 to 4.16). 'All On' / 'Reset All' toggles.</t>
        </is>
      </c>
    </row>
    <row r="9">
      <c r="A9" s="7" t="inlineStr">
        <is>
          <t>Structural Property</t>
        </is>
      </c>
      <c r="B9" s="7" t="inlineStr">
        <is>
          <t>Lipinski Rule preset (Rule #5 / Rule #3 / None) auto-fills bounds:</t>
        </is>
      </c>
      <c r="C9" s="7" t="inlineStr">
        <is>
          <t>Molecular Weight (0-500); H-Bond Donors (0-5); H-Bond Acceptors (0-10); Free Rotatable Bonds (0-1078); Log P / cLogP (-42.84 to 5); PSA (0-7169.83).</t>
        </is>
      </c>
    </row>
    <row r="11">
      <c r="A11" s="5" t="inlineStr">
        <is>
          <t>Common controls on every Structure tab</t>
        </is>
      </c>
    </row>
    <row r="12" ht="30" customHeight="1">
      <c r="A12" s="6" t="inlineStr">
        <is>
          <t>Control</t>
        </is>
      </c>
      <c r="B12" s="6" t="inlineStr">
        <is>
          <t>Behaviour</t>
        </is>
      </c>
    </row>
    <row r="13">
      <c r="A13" s="7" t="inlineStr">
        <is>
          <t>Add Another</t>
        </is>
      </c>
      <c r="B13" s="7" t="inlineStr">
        <is>
          <t>Adds another OR-clause to the same tab.</t>
        </is>
      </c>
    </row>
    <row r="14">
      <c r="A14" s="7" t="inlineStr">
        <is>
          <t>Upload via .txt</t>
        </is>
      </c>
      <c r="B14" s="7" t="inlineStr">
        <is>
          <t>Bulk-paste IDs from a flat file.</t>
        </is>
      </c>
    </row>
    <row r="15">
      <c r="A15" s="7" t="inlineStr">
        <is>
          <t>Cancel / Save</t>
        </is>
      </c>
      <c r="B15" s="7" t="inlineStr">
        <is>
          <t>Saves the criterion into the 'Construct your search' stack.</t>
        </is>
      </c>
    </row>
    <row r="16">
      <c r="A16" s="7" t="inlineStr">
        <is>
          <t>Draw Structure</t>
        </is>
      </c>
      <c r="B16" s="7" t="inlineStr">
        <is>
          <t>Opens chemical drawing canvas (sketcher) for Name/SMILES tabs.</t>
        </is>
      </c>
    </row>
  </sheetData>
  <mergeCells count="2">
    <mergeCell ref="A1:D1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70" customWidth="1" min="3" max="3"/>
  </cols>
  <sheetData>
    <row r="1" ht="26" customHeight="1">
      <c r="A1" s="8" t="inlineStr">
        <is>
          <t>Target / Enzyme / Protein Criteria — 3 tabs</t>
        </is>
      </c>
    </row>
    <row r="3" ht="30" customHeight="1">
      <c r="A3" s="6" t="inlineStr">
        <is>
          <t>Tab</t>
        </is>
      </c>
      <c r="B3" s="6" t="inlineStr">
        <is>
          <t>Input field</t>
        </is>
      </c>
      <c r="C3" s="6" t="inlineStr">
        <is>
          <t>Filter options</t>
        </is>
      </c>
    </row>
    <row r="4">
      <c r="A4" s="7" t="inlineStr">
        <is>
          <t>Name</t>
        </is>
      </c>
      <c r="B4" s="7" t="inlineStr">
        <is>
          <t>Target Name dropdown (autocomplete, e.g. EGFR)</t>
        </is>
      </c>
      <c r="C4" s="7" t="inlineStr">
        <is>
          <t>Restricted To: Primary / Secondary / Profile (target role).</t>
        </is>
      </c>
    </row>
    <row r="5">
      <c r="A5" s="7" t="inlineStr">
        <is>
          <t>Official or Gene Name</t>
        </is>
      </c>
      <c r="B5" s="7" t="inlineStr">
        <is>
          <t>Free-text gene symbol (e.g. AURKC)</t>
        </is>
      </c>
      <c r="C5" s="7" t="inlineStr">
        <is>
          <t>Same Primary/Secondary/Profile restrictor.</t>
        </is>
      </c>
    </row>
    <row r="6">
      <c r="A6" s="7" t="inlineStr">
        <is>
          <t>PDB, Entrez Gene, or UniProt ID</t>
        </is>
      </c>
      <c r="B6" s="7" t="inlineStr">
        <is>
          <t>Dropdown selector + ID field</t>
        </is>
      </c>
      <c r="C6" s="7" t="inlineStr">
        <is>
          <t>ID type options: PDB ID (e.g. 1O1V), Entrez Gene ID, UniProt ID. Same restrictor.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60" customWidth="1" min="3" max="3"/>
  </cols>
  <sheetData>
    <row r="1" ht="26" customHeight="1">
      <c r="A1" s="8" t="inlineStr">
        <is>
          <t>Bibliography Criteria — 5 tabs</t>
        </is>
      </c>
    </row>
    <row r="3" ht="30" customHeight="1">
      <c r="A3" s="6" t="inlineStr">
        <is>
          <t>Tab</t>
        </is>
      </c>
      <c r="B3" s="6" t="inlineStr">
        <is>
          <t>Input field(s)</t>
        </is>
      </c>
      <c r="C3" s="6" t="inlineStr">
        <is>
          <t>Notes</t>
        </is>
      </c>
    </row>
    <row r="4">
      <c r="A4" s="7" t="inlineStr">
        <is>
          <t>Patent</t>
        </is>
      </c>
      <c r="B4" s="7" t="inlineStr">
        <is>
          <t>Patent ID (e.g. WO2019001416, US10058517, EP3040334)</t>
        </is>
      </c>
      <c r="C4" s="7" t="inlineStr">
        <is>
          <t>Free-text + bulk upload.</t>
        </is>
      </c>
    </row>
    <row r="5">
      <c r="A5" s="7" t="inlineStr">
        <is>
          <t>PUBMED, DOI or Reference ID</t>
        </is>
      </c>
      <c r="B5" s="7" t="inlineStr">
        <is>
          <t>ID-type dropdown: PUBMED ID / DOI / Reference ID</t>
        </is>
      </c>
      <c r="C5" s="7" t="inlineStr">
        <is>
          <t>e.g. 11723232</t>
        </is>
      </c>
    </row>
    <row r="6">
      <c r="A6" s="7" t="inlineStr">
        <is>
          <t>MeSH</t>
        </is>
      </c>
      <c r="B6" s="7" t="inlineStr">
        <is>
          <t>MeSH ID / term (e.g. Aurodox)</t>
        </is>
      </c>
      <c r="C6" s="7" t="inlineStr">
        <is>
          <t>Free-text.</t>
        </is>
      </c>
    </row>
    <row r="7">
      <c r="A7" s="7" t="inlineStr">
        <is>
          <t>Author or Year</t>
        </is>
      </c>
      <c r="B7" s="7" t="inlineStr">
        <is>
          <t>Type dropdown: Author Name / Year Range; Author's Name field; Data Source filter</t>
        </is>
      </c>
      <c r="C7" s="7" t="inlineStr">
        <is>
          <t>Data Source options: All / Journal / Patent / Others. Example: Alexander Adibekian.</t>
        </is>
      </c>
    </row>
    <row r="8">
      <c r="A8" s="7" t="inlineStr">
        <is>
          <t>Custom</t>
        </is>
      </c>
      <c r="B8" s="7" t="inlineStr">
        <is>
          <t>Multi-field row: Type (Journal (J) / Patent (P)), Journal Name, Year, Vol, Issue, Starting Page No.</t>
        </is>
      </c>
      <c r="C8" s="7" t="inlineStr">
        <is>
          <t>Build precise citation lookups.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70" customWidth="1" min="3" max="3"/>
  </cols>
  <sheetData>
    <row r="1" ht="26" customHeight="1">
      <c r="A1" s="8" t="inlineStr">
        <is>
          <t>Company Criteria — 1 field</t>
        </is>
      </c>
    </row>
    <row r="3" ht="30" customHeight="1">
      <c r="A3" s="6" t="inlineStr">
        <is>
          <t>Field</t>
        </is>
      </c>
      <c r="B3" s="6" t="inlineStr">
        <is>
          <t>Example</t>
        </is>
      </c>
      <c r="C3" s="6" t="inlineStr">
        <is>
          <t>Notes</t>
        </is>
      </c>
    </row>
    <row r="4">
      <c r="A4" s="7" t="inlineStr">
        <is>
          <t>Company name</t>
        </is>
      </c>
      <c r="B4" s="7" t="inlineStr">
        <is>
          <t>Pfizer</t>
        </is>
      </c>
      <c r="C4" s="7" t="inlineStr">
        <is>
          <t>Free-text autocomplete; supports Add Another + .txt upload.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 ht="26" customHeight="1">
      <c r="A1" s="8" t="inlineStr">
        <is>
          <t>Molecule / Compound Category — single dropdown, 4 values</t>
        </is>
      </c>
    </row>
    <row r="3" ht="30" customHeight="1">
      <c r="A3" s="6" t="inlineStr">
        <is>
          <t>Value</t>
        </is>
      </c>
      <c r="B3" s="6" t="inlineStr">
        <is>
          <t>Meaning</t>
        </is>
      </c>
    </row>
    <row r="4">
      <c r="A4" s="7" t="inlineStr">
        <is>
          <t>Clinical</t>
        </is>
      </c>
      <c r="B4" s="7" t="inlineStr">
        <is>
          <t>Compound has entered clinical trials.</t>
        </is>
      </c>
    </row>
    <row r="5">
      <c r="A5" s="7" t="inlineStr">
        <is>
          <t>Drug</t>
        </is>
      </c>
      <c r="B5" s="7" t="inlineStr">
        <is>
          <t>Approved / launched drug.</t>
        </is>
      </c>
    </row>
    <row r="6">
      <c r="A6" s="7" t="inlineStr">
        <is>
          <t>Preclinical</t>
        </is>
      </c>
      <c r="B6" s="7" t="inlineStr">
        <is>
          <t>In vitro / in vivo precedent but not yet in clinic.</t>
        </is>
      </c>
    </row>
    <row r="7">
      <c r="A7" s="7" t="inlineStr">
        <is>
          <t>Toxicity</t>
        </is>
      </c>
      <c r="B7" s="7" t="inlineStr">
        <is>
          <t>Compound flagged for toxicology characterization.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6" customHeight="1">
      <c r="A1" s="8" t="inlineStr">
        <is>
          <t>Clinical Phase or Status — 11 values</t>
        </is>
      </c>
    </row>
    <row r="3" ht="30" customHeight="1">
      <c r="A3" s="6" t="inlineStr">
        <is>
          <t>Value</t>
        </is>
      </c>
      <c r="B3" s="6" t="inlineStr">
        <is>
          <t>Meaning</t>
        </is>
      </c>
    </row>
    <row r="4">
      <c r="A4" s="7" t="inlineStr">
        <is>
          <t>Phase I</t>
        </is>
      </c>
      <c r="B4" s="7" t="inlineStr">
        <is>
          <t>First-in-human / safety.</t>
        </is>
      </c>
    </row>
    <row r="5">
      <c r="A5" s="7" t="inlineStr">
        <is>
          <t>Phase II</t>
        </is>
      </c>
      <c r="B5" s="7" t="inlineStr">
        <is>
          <t>Efficacy &amp; dosing.</t>
        </is>
      </c>
    </row>
    <row r="6">
      <c r="A6" s="7" t="inlineStr">
        <is>
          <t>Phase III</t>
        </is>
      </c>
      <c r="B6" s="7" t="inlineStr">
        <is>
          <t>Pivotal.</t>
        </is>
      </c>
    </row>
    <row r="7">
      <c r="A7" s="7" t="inlineStr">
        <is>
          <t>Phase IV</t>
        </is>
      </c>
      <c r="B7" s="7" t="inlineStr">
        <is>
          <t>Post-marketing.</t>
        </is>
      </c>
    </row>
    <row r="8">
      <c r="A8" s="7" t="inlineStr">
        <is>
          <t>Pre-registration</t>
        </is>
      </c>
      <c r="B8" s="7" t="inlineStr">
        <is>
          <t>Filed, not yet approved.</t>
        </is>
      </c>
    </row>
    <row r="9">
      <c r="A9" s="7" t="inlineStr">
        <is>
          <t>Launched</t>
        </is>
      </c>
      <c r="B9" s="7" t="inlineStr">
        <is>
          <t>Approved &amp; on market.</t>
        </is>
      </c>
    </row>
    <row r="10">
      <c r="A10" s="7" t="inlineStr">
        <is>
          <t>Suspended</t>
        </is>
      </c>
      <c r="B10" s="7" t="inlineStr">
        <is>
          <t>Development paused.</t>
        </is>
      </c>
    </row>
    <row r="11">
      <c r="A11" s="7" t="inlineStr">
        <is>
          <t>Withdrawn</t>
        </is>
      </c>
      <c r="B11" s="7" t="inlineStr">
        <is>
          <t>Removed from market.</t>
        </is>
      </c>
    </row>
    <row r="12">
      <c r="A12" s="7" t="inlineStr">
        <is>
          <t>No Development</t>
        </is>
      </c>
      <c r="B12" s="7" t="inlineStr">
        <is>
          <t>Disclosed but no program.</t>
        </is>
      </c>
    </row>
    <row r="13">
      <c r="A13" s="7" t="inlineStr">
        <is>
          <t>Discontinued</t>
        </is>
      </c>
      <c r="B13" s="7" t="inlineStr">
        <is>
          <t>Program terminated.</t>
        </is>
      </c>
    </row>
    <row r="14">
      <c r="A14" s="7" t="inlineStr">
        <is>
          <t>Clinical Phase Unknown</t>
        </is>
      </c>
      <c r="B14" s="7" t="inlineStr">
        <is>
          <t>Status not in source document.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6" customHeight="1">
      <c r="A1" s="8" t="inlineStr">
        <is>
          <t>Assay Type — 16 values (alphabetical)</t>
        </is>
      </c>
    </row>
    <row r="3" ht="30" customHeight="1">
      <c r="A3" s="6" t="inlineStr">
        <is>
          <t>Assay Type</t>
        </is>
      </c>
      <c r="B3" s="6" t="inlineStr">
        <is>
          <t>Typical content</t>
        </is>
      </c>
    </row>
    <row r="4">
      <c r="A4" s="7" t="inlineStr">
        <is>
          <t>Absorption</t>
        </is>
      </c>
      <c r="B4" s="7" t="inlineStr">
        <is>
          <t>Permeability / Caco-2 / PAMPA.</t>
        </is>
      </c>
    </row>
    <row r="5">
      <c r="A5" s="7" t="inlineStr">
        <is>
          <t>Calculated</t>
        </is>
      </c>
      <c r="B5" s="7" t="inlineStr">
        <is>
          <t>In-silico predicted property.</t>
        </is>
      </c>
    </row>
    <row r="6">
      <c r="A6" s="7" t="inlineStr">
        <is>
          <t>Calculated Log D</t>
        </is>
      </c>
      <c r="B6" s="7" t="inlineStr">
        <is>
          <t>Predicted distribution coefficient at given pH.</t>
        </is>
      </c>
    </row>
    <row r="7">
      <c r="A7" s="7" t="inlineStr">
        <is>
          <t>Calculated Log P</t>
        </is>
      </c>
      <c r="B7" s="7" t="inlineStr">
        <is>
          <t>Predicted lipophilicity.</t>
        </is>
      </c>
    </row>
    <row r="8">
      <c r="A8" s="7" t="inlineStr">
        <is>
          <t>Calculated pKa</t>
        </is>
      </c>
      <c r="B8" s="7" t="inlineStr">
        <is>
          <t>Predicted ionization.</t>
        </is>
      </c>
    </row>
    <row r="9">
      <c r="A9" s="7" t="inlineStr">
        <is>
          <t>Calculated solubility</t>
        </is>
      </c>
      <c r="B9" s="7" t="inlineStr">
        <is>
          <t>Predicted aqueous solubility.</t>
        </is>
      </c>
    </row>
    <row r="10">
      <c r="A10" s="7" t="inlineStr">
        <is>
          <t>Distribution</t>
        </is>
      </c>
      <c r="B10" s="7" t="inlineStr">
        <is>
          <t>Tissue / plasma protein binding / Vss.</t>
        </is>
      </c>
    </row>
    <row r="11">
      <c r="A11" s="7" t="inlineStr">
        <is>
          <t>Excretion</t>
        </is>
      </c>
      <c r="B11" s="7" t="inlineStr">
        <is>
          <t>Renal / biliary clearance.</t>
        </is>
      </c>
    </row>
    <row r="12">
      <c r="A12" s="7" t="inlineStr">
        <is>
          <t>Experimental Log D</t>
        </is>
      </c>
      <c r="B12" s="7" t="inlineStr">
        <is>
          <t>Measured distribution coefficient.</t>
        </is>
      </c>
    </row>
    <row r="13">
      <c r="A13" s="7" t="inlineStr">
        <is>
          <t>Experimental Log P</t>
        </is>
      </c>
      <c r="B13" s="7" t="inlineStr">
        <is>
          <t>Measured lipophilicity.</t>
        </is>
      </c>
    </row>
    <row r="14">
      <c r="A14" s="7" t="inlineStr">
        <is>
          <t>Experimental pKa</t>
        </is>
      </c>
      <c r="B14" s="7" t="inlineStr">
        <is>
          <t>Measured ionization.</t>
        </is>
      </c>
    </row>
    <row r="15">
      <c r="A15" s="7" t="inlineStr">
        <is>
          <t>Experimental solubility</t>
        </is>
      </c>
      <c r="B15" s="7" t="inlineStr">
        <is>
          <t>Measured aqueous solubility.</t>
        </is>
      </c>
    </row>
    <row r="16">
      <c r="A16" s="7" t="inlineStr">
        <is>
          <t>Metabolism</t>
        </is>
      </c>
      <c r="B16" s="7" t="inlineStr">
        <is>
          <t>CYP / hepatocyte / microsomal.</t>
        </is>
      </c>
    </row>
    <row r="17">
      <c r="A17" s="7" t="inlineStr">
        <is>
          <t>Other</t>
        </is>
      </c>
      <c r="B17" s="7" t="inlineStr">
        <is>
          <t>Non-categorized assay format.</t>
        </is>
      </c>
    </row>
    <row r="18">
      <c r="A18" s="7" t="inlineStr">
        <is>
          <t>Qualitative</t>
        </is>
      </c>
      <c r="B18" s="7" t="inlineStr">
        <is>
          <t>Categorical (active/inactive, +/-).</t>
        </is>
      </c>
    </row>
    <row r="19">
      <c r="A19" s="7" t="inlineStr">
        <is>
          <t>Toxicity</t>
        </is>
      </c>
      <c r="B19" s="7" t="inlineStr">
        <is>
          <t>Tox-flagged assay endpoint.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26" customHeight="1">
      <c r="A1" s="8" t="inlineStr">
        <is>
          <t>Pharmacokinetics — ADME tree (5 top-level branches)</t>
        </is>
      </c>
    </row>
    <row r="3" ht="30" customHeight="1">
      <c r="A3" s="6" t="inlineStr">
        <is>
          <t>PK branch</t>
        </is>
      </c>
      <c r="B3" s="6" t="inlineStr">
        <is>
          <t>Typical sub-parameters captured under the branch</t>
        </is>
      </c>
    </row>
    <row r="4">
      <c r="A4" s="7" t="inlineStr">
        <is>
          <t>Absorption</t>
        </is>
      </c>
      <c r="B4" s="7" t="inlineStr">
        <is>
          <t>Oral bioavailability F, permeability, Caco-2, PAMPA, Tmax, Cmax.</t>
        </is>
      </c>
    </row>
    <row r="5">
      <c r="A5" s="7" t="inlineStr">
        <is>
          <t>Distribution</t>
        </is>
      </c>
      <c r="B5" s="7" t="inlineStr">
        <is>
          <t>Vd, plasma protein binding (PPB / fu), tissue partitioning, BBB.</t>
        </is>
      </c>
    </row>
    <row r="6">
      <c r="A6" s="7" t="inlineStr">
        <is>
          <t>Elimination</t>
        </is>
      </c>
      <c r="B6" s="7" t="inlineStr">
        <is>
          <t>t1/2, clearance, MRT, AUC.</t>
        </is>
      </c>
    </row>
    <row r="7">
      <c r="A7" s="7" t="inlineStr">
        <is>
          <t>Excretion</t>
        </is>
      </c>
      <c r="B7" s="7" t="inlineStr">
        <is>
          <t>Renal / biliary / fecal clearance, urine recovery.</t>
        </is>
      </c>
    </row>
    <row r="8">
      <c r="A8" s="7" t="inlineStr">
        <is>
          <t>Metabolism</t>
        </is>
      </c>
      <c r="B8" s="7" t="inlineStr">
        <is>
          <t>CYP isoform contribution, hepatocyte stability, intrinsic clearance, microsomal half-life, metabolite ID.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 ht="26" customHeight="1">
      <c r="A1" s="8" t="inlineStr">
        <is>
          <t>Toxicity — 6 categories</t>
        </is>
      </c>
    </row>
    <row r="3" ht="30" customHeight="1">
      <c r="A3" s="6" t="inlineStr">
        <is>
          <t>Toxicity category</t>
        </is>
      </c>
      <c r="B3" s="6" t="inlineStr">
        <is>
          <t>Typical content</t>
        </is>
      </c>
    </row>
    <row r="4">
      <c r="A4" s="7" t="inlineStr">
        <is>
          <t>Cytotoxicity and Cell Viability</t>
        </is>
      </c>
      <c r="B4" s="7" t="inlineStr">
        <is>
          <t>MTT, MTS, ATP, LDH assays in cancer + normal cell lines.</t>
        </is>
      </c>
    </row>
    <row r="5">
      <c r="A5" s="7" t="inlineStr">
        <is>
          <t>Genotoxic assay</t>
        </is>
      </c>
      <c r="B5" s="7" t="inlineStr">
        <is>
          <t>Comet, micronucleus, chromosomal aberration.</t>
        </is>
      </c>
    </row>
    <row r="6">
      <c r="A6" s="7" t="inlineStr">
        <is>
          <t>Mutagenicity/Genotoxicity</t>
        </is>
      </c>
      <c r="B6" s="7" t="inlineStr">
        <is>
          <t>Ames assay, Ames II, bacterial reverse mutation.</t>
        </is>
      </c>
    </row>
    <row r="7">
      <c r="A7" s="7" t="inlineStr">
        <is>
          <t>Organ Toxicity</t>
        </is>
      </c>
      <c r="B7" s="7" t="inlineStr">
        <is>
          <t>Hepatotoxicity, nephrotoxicity, cardiotoxicity (incl. hERG), neurotoxicity.</t>
        </is>
      </c>
    </row>
    <row r="8">
      <c r="A8" s="7" t="inlineStr">
        <is>
          <t>Target Toxicity</t>
        </is>
      </c>
      <c r="B8" s="7" t="inlineStr">
        <is>
          <t>Off-target panel activity (selectivity-driven safety risk).</t>
        </is>
      </c>
    </row>
    <row r="9">
      <c r="A9" s="7" t="inlineStr">
        <is>
          <t>Target based</t>
        </is>
      </c>
      <c r="B9" s="7" t="inlineStr">
        <is>
          <t>Mechanism-anchored tox endpoints.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6" customHeight="1">
      <c r="A1" s="8" t="inlineStr">
        <is>
          <t>Search Results page — 5 result tabs + all selectable columns</t>
        </is>
      </c>
    </row>
    <row r="3">
      <c r="A3" s="5" t="inlineStr">
        <is>
          <t>Tabs available across the result grid</t>
        </is>
      </c>
    </row>
    <row r="4" ht="30" customHeight="1">
      <c r="A4" s="6" t="inlineStr">
        <is>
          <t>Result tab</t>
        </is>
      </c>
      <c r="B4" s="6" t="inlineStr">
        <is>
          <t>What it returns</t>
        </is>
      </c>
    </row>
    <row r="5">
      <c r="A5" s="7" t="inlineStr">
        <is>
          <t>Structures</t>
        </is>
      </c>
      <c r="B5" s="7" t="inlineStr">
        <is>
          <t>Unique compounds matching the query.</t>
        </is>
      </c>
    </row>
    <row r="6">
      <c r="A6" s="7" t="inlineStr">
        <is>
          <t>Activities</t>
        </is>
      </c>
      <c r="B6" s="7" t="inlineStr">
        <is>
          <t>Bioactivity rows (compound × target × value).</t>
        </is>
      </c>
    </row>
    <row r="7">
      <c r="A7" s="7" t="inlineStr">
        <is>
          <t>Assay</t>
        </is>
      </c>
      <c r="B7" s="7" t="inlineStr">
        <is>
          <t>Distinct assay definitions where the compound was tested.</t>
        </is>
      </c>
    </row>
    <row r="8">
      <c r="A8" s="7" t="inlineStr">
        <is>
          <t>Development Compounds</t>
        </is>
      </c>
      <c r="B8" s="7" t="inlineStr">
        <is>
          <t>Subset that has development / clinical status.</t>
        </is>
      </c>
    </row>
    <row r="9">
      <c r="A9" s="7" t="inlineStr">
        <is>
          <t>Documents</t>
        </is>
      </c>
      <c r="B9" s="7" t="inlineStr">
        <is>
          <t>Source patents + papers referencing the compound.</t>
        </is>
      </c>
    </row>
    <row r="12">
      <c r="A12" s="5" t="inlineStr">
        <is>
          <t>Columns available under 'Structures' result tab</t>
        </is>
      </c>
    </row>
    <row r="13" ht="30" customHeight="1">
      <c r="A13" s="6" t="inlineStr">
        <is>
          <t>Column</t>
        </is>
      </c>
      <c r="B13" s="6" t="inlineStr">
        <is>
          <t>Notes</t>
        </is>
      </c>
    </row>
    <row r="14">
      <c r="A14" s="7" t="inlineStr">
        <is>
          <t>Structure ID</t>
        </is>
      </c>
      <c r="B14" s="7" t="inlineStr">
        <is>
          <t>Internal STR ID (clickable to compound leaflet).</t>
        </is>
      </c>
    </row>
    <row r="15">
      <c r="A15" s="7" t="inlineStr">
        <is>
          <t>Similarity (%)</t>
        </is>
      </c>
      <c r="B15" s="7" t="inlineStr">
        <is>
          <t>Only populated for similarity searches.</t>
        </is>
      </c>
    </row>
    <row r="16">
      <c r="A16" s="7" t="inlineStr">
        <is>
          <t>Molecular Weight</t>
        </is>
      </c>
      <c r="B16" s="7" t="inlineStr">
        <is>
          <t>g/mol.</t>
        </is>
      </c>
    </row>
    <row r="17">
      <c r="A17" s="7" t="inlineStr">
        <is>
          <t>SMILES</t>
        </is>
      </c>
      <c r="B17" s="7" t="inlineStr">
        <is>
          <t>Canonical SMILES.</t>
        </is>
      </c>
    </row>
    <row r="18">
      <c r="A18" s="7" t="inlineStr">
        <is>
          <t>Molecular Formula</t>
        </is>
      </c>
      <c r="B18" s="7" t="inlineStr">
        <is>
          <t>e.g. C14H14O3.</t>
        </is>
      </c>
    </row>
    <row r="19">
      <c r="A19" s="7" t="inlineStr">
        <is>
          <t>Solubility</t>
        </is>
      </c>
      <c r="B19" s="7" t="inlineStr">
        <is>
          <t>Calculated aqueous solubility.</t>
        </is>
      </c>
    </row>
    <row r="20">
      <c r="A20" s="7" t="inlineStr">
        <is>
          <t>Rotatable Bonds</t>
        </is>
      </c>
      <c r="B20" s="7" t="inlineStr">
        <is>
          <t>Free rotatable bond count.</t>
        </is>
      </c>
    </row>
    <row r="21">
      <c r="A21" s="7" t="inlineStr">
        <is>
          <t>Polar Surface Area</t>
        </is>
      </c>
      <c r="B21" s="7" t="inlineStr">
        <is>
          <t>PSA.</t>
        </is>
      </c>
    </row>
    <row r="22">
      <c r="A22" s="7" t="inlineStr">
        <is>
          <t>Most Acidic pKa</t>
        </is>
      </c>
      <c r="B22" s="7" t="inlineStr">
        <is>
          <t>Calculated.</t>
        </is>
      </c>
    </row>
    <row r="23">
      <c r="A23" s="7" t="inlineStr">
        <is>
          <t>logP Calculated</t>
        </is>
      </c>
      <c r="B23" s="7" t="inlineStr"/>
    </row>
    <row r="24">
      <c r="A24" s="7" t="inlineStr">
        <is>
          <t>logD Calculated</t>
        </is>
      </c>
      <c r="B24" s="7" t="inlineStr"/>
    </row>
    <row r="25">
      <c r="A25" s="7" t="inlineStr">
        <is>
          <t>H-bond Donors</t>
        </is>
      </c>
      <c r="B25" s="7" t="inlineStr"/>
    </row>
    <row r="26">
      <c r="A26" s="7" t="inlineStr">
        <is>
          <t>H-bond Acceptors</t>
        </is>
      </c>
      <c r="B26" s="7" t="inlineStr"/>
    </row>
    <row r="27">
      <c r="A27" s="7" t="inlineStr">
        <is>
          <t>Framework</t>
        </is>
      </c>
      <c r="B27" s="7" t="inlineStr">
        <is>
          <t>Murcko / Bemis.</t>
        </is>
      </c>
    </row>
    <row r="28">
      <c r="A28" s="7" t="inlineStr">
        <is>
          <t>Scaffold</t>
        </is>
      </c>
      <c r="B28" s="7" t="inlineStr">
        <is>
          <t>Core scaffold.</t>
        </is>
      </c>
    </row>
    <row r="29">
      <c r="A29" s="7" t="inlineStr">
        <is>
          <t>Skeleton</t>
        </is>
      </c>
      <c r="B29" s="7" t="inlineStr">
        <is>
          <t>Carbon skeleton.</t>
        </is>
      </c>
    </row>
    <row r="31">
      <c r="A31" s="5" t="inlineStr">
        <is>
          <t>Columns available under 'Activities' result tab</t>
        </is>
      </c>
    </row>
    <row r="32" ht="30" customHeight="1">
      <c r="A32" s="6" t="inlineStr">
        <is>
          <t>Column</t>
        </is>
      </c>
      <c r="B32" s="6" t="inlineStr">
        <is>
          <t>Notes</t>
        </is>
      </c>
    </row>
    <row r="33">
      <c r="A33" s="7" t="inlineStr">
        <is>
          <t>Std Activity Type</t>
        </is>
      </c>
      <c r="B33" s="7" t="inlineStr">
        <is>
          <t>IC50, EC50, Ki, Kd, etc.</t>
        </is>
      </c>
    </row>
    <row r="34">
      <c r="A34" s="7" t="inlineStr">
        <is>
          <t>Std Activity Prefix</t>
        </is>
      </c>
      <c r="B34" s="7">
        <f>, &lt;, &gt;, ~.</f>
        <v/>
      </c>
    </row>
    <row r="35">
      <c r="A35" s="7" t="inlineStr">
        <is>
          <t>Activity Value</t>
        </is>
      </c>
      <c r="B35" s="7" t="inlineStr">
        <is>
          <t>Numeric value as reported.</t>
        </is>
      </c>
    </row>
    <row r="36">
      <c r="A36" s="7" t="inlineStr">
        <is>
          <t>Std Activity UOM</t>
        </is>
      </c>
      <c r="B36" s="7" t="inlineStr">
        <is>
          <t>Unit (nM, µM, %).</t>
        </is>
      </c>
    </row>
    <row r="37">
      <c r="A37" s="7" t="inlineStr">
        <is>
          <t>Micromolar Value</t>
        </is>
      </c>
      <c r="B37" s="7" t="inlineStr">
        <is>
          <t>Value normalized to µM.</t>
        </is>
      </c>
    </row>
    <row r="38">
      <c r="A38" s="7" t="inlineStr">
        <is>
          <t>Activity Remarks</t>
        </is>
      </c>
      <c r="B38" s="7" t="inlineStr">
        <is>
          <t>Free-text caveats.</t>
        </is>
      </c>
    </row>
    <row r="39">
      <c r="A39" s="7" t="inlineStr">
        <is>
          <t>Assay Type</t>
        </is>
      </c>
      <c r="B39" s="7" t="inlineStr">
        <is>
          <t>B / F / ADME / other.</t>
        </is>
      </c>
    </row>
    <row r="40">
      <c r="A40" s="7" t="inlineStr">
        <is>
          <t>Assay Method Name</t>
        </is>
      </c>
      <c r="B40" s="7" t="inlineStr">
        <is>
          <t>Specific protocol.</t>
        </is>
      </c>
    </row>
    <row r="41">
      <c r="A41" s="7" t="inlineStr">
        <is>
          <t>Parameter</t>
        </is>
      </c>
      <c r="B41" s="7" t="inlineStr">
        <is>
          <t>What was measured.</t>
        </is>
      </c>
    </row>
    <row r="42">
      <c r="A42" s="7" t="inlineStr">
        <is>
          <t>Reference</t>
        </is>
      </c>
      <c r="B42" s="7" t="inlineStr">
        <is>
          <t>Patent / paper citation.</t>
        </is>
      </c>
    </row>
    <row r="43">
      <c r="A43" s="7" t="inlineStr">
        <is>
          <t>Activity Mechanism</t>
        </is>
      </c>
      <c r="B43" s="7" t="inlineStr">
        <is>
          <t>Inhibitor / agonist / antagonist / etc.</t>
        </is>
      </c>
    </row>
    <row r="45">
      <c r="A45" s="5" t="inlineStr">
        <is>
          <t>Columns available under 'Assays' result tab</t>
        </is>
      </c>
    </row>
    <row r="46" ht="30" customHeight="1">
      <c r="A46" s="6" t="inlineStr">
        <is>
          <t>Column</t>
        </is>
      </c>
      <c r="B46" s="6" t="inlineStr">
        <is>
          <t>Notes</t>
        </is>
      </c>
    </row>
    <row r="47">
      <c r="A47" s="7" t="inlineStr">
        <is>
          <t>Structure ID</t>
        </is>
      </c>
      <c r="B47" s="7" t="inlineStr">
        <is>
          <t>Compound under test.</t>
        </is>
      </c>
    </row>
    <row r="48">
      <c r="A48" s="7" t="inlineStr">
        <is>
          <t>Similarity (%)</t>
        </is>
      </c>
      <c r="B48" s="7" t="inlineStr"/>
    </row>
    <row r="49">
      <c r="A49" s="7" t="inlineStr">
        <is>
          <t>Enzyme Cell Assay</t>
        </is>
      </c>
      <c r="B49" s="7" t="inlineStr">
        <is>
          <t>Enzyme vs cell-based.</t>
        </is>
      </c>
    </row>
    <row r="50">
      <c r="A50" s="7" t="inlineStr">
        <is>
          <t>Target Name</t>
        </is>
      </c>
      <c r="B50" s="7" t="inlineStr"/>
    </row>
    <row r="51">
      <c r="A51" s="7" t="inlineStr">
        <is>
          <t>InPresence of</t>
        </is>
      </c>
      <c r="B51" s="7" t="inlineStr">
        <is>
          <t>Co-incubated reagent / cofactor.</t>
        </is>
      </c>
    </row>
    <row r="52">
      <c r="A52" s="7" t="inlineStr">
        <is>
          <t>Radioligand</t>
        </is>
      </c>
      <c r="B52" s="7" t="inlineStr">
        <is>
          <t>Tracer used in binding assay.</t>
        </is>
      </c>
    </row>
    <row r="53">
      <c r="A53" s="7" t="inlineStr">
        <is>
          <t>Co-administered</t>
        </is>
      </c>
      <c r="B53" s="7" t="inlineStr">
        <is>
          <t>Other compound co-dosed.</t>
        </is>
      </c>
    </row>
    <row r="54">
      <c r="A54" s="7" t="inlineStr">
        <is>
          <t>Buffer</t>
        </is>
      </c>
      <c r="B54" s="7" t="inlineStr"/>
    </row>
    <row r="55">
      <c r="A55" s="7" t="inlineStr">
        <is>
          <t>Concentration</t>
        </is>
      </c>
      <c r="B55" s="7" t="inlineStr"/>
    </row>
    <row r="56">
      <c r="A56" s="7" t="inlineStr">
        <is>
          <t>InPresence of UOM</t>
        </is>
      </c>
      <c r="B56" s="7" t="inlineStr"/>
    </row>
    <row r="57">
      <c r="A57" s="7" t="inlineStr">
        <is>
          <t>pH Prefix</t>
        </is>
      </c>
      <c r="B57" s="7" t="inlineStr"/>
    </row>
    <row r="58">
      <c r="A58" s="7" t="inlineStr">
        <is>
          <t>Radioligand Prefix / Concentration / UOM</t>
        </is>
      </c>
      <c r="B58" s="7" t="inlineStr"/>
    </row>
    <row r="59">
      <c r="A59" s="7" t="inlineStr">
        <is>
          <t>Co-administered Prefix / Value / UOM</t>
        </is>
      </c>
      <c r="B59" s="7" t="inlineStr"/>
    </row>
    <row r="60">
      <c r="A60" s="7" t="inlineStr">
        <is>
          <t>Protein Standard Name</t>
        </is>
      </c>
      <c r="B60" s="7" t="inlineStr"/>
    </row>
    <row r="61">
      <c r="A61" s="7" t="inlineStr">
        <is>
          <t>Buffer Prefix / Concentration</t>
        </is>
      </c>
      <c r="B61" s="7" t="inlineStr"/>
    </row>
    <row r="63">
      <c r="A63" s="5" t="inlineStr">
        <is>
          <t>Columns available under 'Documents' result tab</t>
        </is>
      </c>
    </row>
    <row r="64" ht="30" customHeight="1">
      <c r="A64" s="6" t="inlineStr">
        <is>
          <t>Column</t>
        </is>
      </c>
      <c r="B64" s="6" t="inlineStr">
        <is>
          <t>Notes</t>
        </is>
      </c>
    </row>
    <row r="65">
      <c r="A65" s="7" t="inlineStr">
        <is>
          <t>Year</t>
        </is>
      </c>
      <c r="B65" s="7" t="inlineStr"/>
    </row>
    <row r="66">
      <c r="A66" s="7" t="inlineStr">
        <is>
          <t>Volume</t>
        </is>
      </c>
      <c r="B66" s="7" t="inlineStr"/>
    </row>
    <row r="67">
      <c r="A67" s="7" t="inlineStr">
        <is>
          <t>Issue</t>
        </is>
      </c>
      <c r="B67" s="7" t="inlineStr"/>
    </row>
    <row r="68">
      <c r="A68" s="7" t="inlineStr">
        <is>
          <t>Start Page</t>
        </is>
      </c>
      <c r="B68" s="7" t="inlineStr"/>
    </row>
    <row r="69">
      <c r="A69" s="7" t="inlineStr">
        <is>
          <t>End Page</t>
        </is>
      </c>
      <c r="B69" s="7" t="inlineStr"/>
    </row>
    <row r="70">
      <c r="A70" s="7" t="inlineStr">
        <is>
          <t>ISSN</t>
        </is>
      </c>
      <c r="B70" s="7" t="inlineStr"/>
    </row>
    <row r="71">
      <c r="A71" s="7" t="inlineStr">
        <is>
          <t>Patent Number</t>
        </is>
      </c>
      <c r="B71" s="7" t="inlineStr"/>
    </row>
    <row r="72">
      <c r="A72" s="7" t="inlineStr">
        <is>
          <t>Patent Application Type</t>
        </is>
      </c>
      <c r="B72" s="7" t="inlineStr"/>
    </row>
    <row r="74">
      <c r="A74" s="5" t="inlineStr">
        <is>
          <t>Top-right toolbar icons (results page)</t>
        </is>
      </c>
    </row>
    <row r="75" ht="30" customHeight="1">
      <c r="A75" s="6" t="inlineStr">
        <is>
          <t>Toolbar element</t>
        </is>
      </c>
      <c r="B75" s="6" t="inlineStr">
        <is>
          <t>Function</t>
        </is>
      </c>
    </row>
    <row r="76">
      <c r="A76" s="7" t="inlineStr">
        <is>
          <t>Funnel (left)</t>
        </is>
      </c>
      <c r="B76" s="7" t="inlineStr">
        <is>
          <t>Open advanced filters on result set.</t>
        </is>
      </c>
    </row>
    <row r="77">
      <c r="A77" s="7" t="inlineStr">
        <is>
          <t>Bar-chart icon</t>
        </is>
      </c>
      <c r="B77" s="7" t="inlineStr">
        <is>
          <t>Distribution / histogram view of results.</t>
        </is>
      </c>
    </row>
    <row r="78">
      <c r="A78" s="7" t="inlineStr">
        <is>
          <t>Line-chart icon</t>
        </is>
      </c>
      <c r="B78" s="7" t="inlineStr">
        <is>
          <t>Trend over time view.</t>
        </is>
      </c>
    </row>
    <row r="79">
      <c r="A79" s="7" t="inlineStr">
        <is>
          <t>External-link icon</t>
        </is>
      </c>
      <c r="B79" s="7" t="inlineStr">
        <is>
          <t>Export current view.</t>
        </is>
      </c>
    </row>
    <row r="80">
      <c r="A80" s="7" t="inlineStr">
        <is>
          <t>Magnifier icon</t>
        </is>
      </c>
      <c r="B80" s="7" t="inlineStr">
        <is>
          <t>Re-search / refine within results.</t>
        </is>
      </c>
    </row>
    <row r="81">
      <c r="A81" s="7" t="inlineStr">
        <is>
          <t>Columns icon (right-most)</t>
        </is>
      </c>
      <c r="B81" s="7" t="inlineStr">
        <is>
          <t>Show / hide columns picker (the one captured above).</t>
        </is>
      </c>
    </row>
    <row r="82">
      <c r="A82" s="7" t="inlineStr">
        <is>
          <t>Save Search</t>
        </is>
      </c>
      <c r="B82" s="7" t="inlineStr">
        <is>
          <t>Persist the search to the user's Saved searches list.</t>
        </is>
      </c>
    </row>
    <row r="83">
      <c r="A83" s="7" t="inlineStr">
        <is>
          <t>Edit Search</t>
        </is>
      </c>
      <c r="B83" s="7" t="inlineStr">
        <is>
          <t>Go back and amend criteria.</t>
        </is>
      </c>
    </row>
  </sheetData>
  <mergeCells count="7">
    <mergeCell ref="A12:E12"/>
    <mergeCell ref="A63:E63"/>
    <mergeCell ref="A45:E45"/>
    <mergeCell ref="A1:E1"/>
    <mergeCell ref="A31:E31"/>
    <mergeCell ref="A74:E74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26" customHeight="1">
      <c r="A1" s="8" t="inlineStr">
        <is>
          <t>Compound leaflet (per-compound) page — 4 left-nav sections</t>
        </is>
      </c>
    </row>
    <row r="3" ht="30" customHeight="1">
      <c r="A3" s="6" t="inlineStr">
        <is>
          <t>Section</t>
        </is>
      </c>
      <c r="B3" s="6" t="inlineStr">
        <is>
          <t>Fields shown</t>
        </is>
      </c>
    </row>
    <row r="4">
      <c r="A4" s="7" t="inlineStr">
        <is>
          <t>Name and Representation</t>
        </is>
      </c>
      <c r="B4" s="7" t="inlineStr">
        <is>
          <t>Structure ID; CAS Number; InChI Key; Synonym / Alternate Name (long list of trade + chemical names); IUPAC Name; Molecular Formula; Molecular Weight; SMILES; Status / Phase; 2D depiction image.</t>
        </is>
      </c>
    </row>
    <row r="5">
      <c r="A5" s="7" t="inlineStr">
        <is>
          <t>References</t>
        </is>
      </c>
      <c r="B5" s="7" t="inlineStr">
        <is>
          <t>Table — Reference ID; Name (journal/source); Title; Authors; Company Address; PubMed Id (linked); DOI (linked); + scrollable further columns.</t>
        </is>
      </c>
    </row>
    <row r="6">
      <c r="A6" s="7" t="inlineStr">
        <is>
          <t>Assay</t>
        </is>
      </c>
      <c r="B6" s="7" t="inlineStr">
        <is>
          <t>Filter: Pick a Target (defaults to All). Table — Assay ID (clickable); ECA (full assay description); Assay Type (B=Binding, M=Metabolism/ADME, C=Calculated, F=Functional); Target; Source; Cells Cell_line Organ; Mechanism (Inhibitor / Activator / etc.); Method Name.</t>
        </is>
      </c>
    </row>
    <row r="7">
      <c r="A7" s="7" t="inlineStr">
        <is>
          <t>Calculated Properties</t>
        </is>
      </c>
      <c r="B7" s="7" t="inlineStr">
        <is>
          <t>Type / Value pairs — HBA (Hydrogen Bond Acceptor); HBD (Hydrogen Bond Donor); Free Rotatable Bonds; PSA (Polar Surface Area); pKa; logP; logD pH 7.4; Solubility.</t>
        </is>
      </c>
    </row>
    <row r="8">
      <c r="A8" s="9" t="inlineStr">
        <is>
          <t>Top-right action: Export — bulk-downloads the compound dossier.</t>
        </is>
      </c>
    </row>
  </sheetData>
  <mergeCells count="2">
    <mergeCell ref="A1:D1"/>
    <mergeCell ref="A8:B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26" customHeight="1">
      <c r="A1" s="8" t="inlineStr">
        <is>
          <t>Persistent header — Saved, Info, Account icons</t>
        </is>
      </c>
    </row>
    <row r="3" ht="30" customHeight="1">
      <c r="A3" s="6" t="inlineStr">
        <is>
          <t>Menu</t>
        </is>
      </c>
      <c r="B3" s="6" t="inlineStr">
        <is>
          <t>Items</t>
        </is>
      </c>
    </row>
    <row r="4">
      <c r="A4" s="7" t="inlineStr">
        <is>
          <t>Saved (star icon)</t>
        </is>
      </c>
      <c r="B4" s="7" t="inlineStr">
        <is>
          <t>Searches tab + 'Mark all as read'. Lists every saved search the user has persisted. Search box to filter saved items.</t>
        </is>
      </c>
    </row>
    <row r="5">
      <c r="A5" s="7" t="inlineStr">
        <is>
          <t>Info (i icon)</t>
        </is>
      </c>
      <c r="B5" s="7" t="inlineStr">
        <is>
          <t>Product help / documentation pop-out.</t>
        </is>
      </c>
    </row>
    <row r="6">
      <c r="A6" s="7" t="inlineStr">
        <is>
          <t>Account (avatar icon)</t>
        </is>
      </c>
      <c r="B6" s="7" t="inlineStr">
        <is>
          <t>User name (Pranay); Dashboard; Change Password; Logout.</t>
        </is>
      </c>
    </row>
    <row r="7">
      <c r="A7" s="7" t="inlineStr">
        <is>
          <t>All Categories dropdown</t>
        </is>
      </c>
      <c r="B7" s="7" t="inlineStr">
        <is>
          <t>Scopes global search bar to a specific module (Structure, Target, etc.) instead of cross-module.</t>
        </is>
      </c>
    </row>
    <row r="8">
      <c r="A8" s="7" t="inlineStr">
        <is>
          <t>Draw Structure (search bar)</t>
        </is>
      </c>
      <c r="B8" s="7" t="inlineStr">
        <is>
          <t>Opens chemical sketcher to query by drawn structure directly from any page.</t>
        </is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2" customWidth="1" min="3" max="3"/>
    <col width="60" customWidth="1" min="4" max="4"/>
    <col width="50" customWidth="1" min="5" max="5"/>
  </cols>
  <sheetData>
    <row r="1" ht="26" customHeight="1">
      <c r="A1" s="8" t="inlineStr">
        <is>
          <t>Where &amp; When each GOSTAR module is useful for Hakase Bio</t>
        </is>
      </c>
    </row>
    <row r="3">
      <c r="A3" s="10" t="inlineStr">
        <is>
          <t>Mapping covers the standard small-molecule drug discovery flow. Adjust target classes / programs once you share Hakase's pipeline.</t>
        </is>
      </c>
    </row>
    <row r="5" ht="30" customHeight="1">
      <c r="A5" s="6" t="inlineStr">
        <is>
          <t>Discovery stage / Workflow</t>
        </is>
      </c>
      <c r="B5" s="6" t="inlineStr">
        <is>
          <t>What you're trying to do</t>
        </is>
      </c>
      <c r="C5" s="6" t="inlineStr">
        <is>
          <t>GOSTAR module(s) to use</t>
        </is>
      </c>
      <c r="D5" s="6" t="inlineStr">
        <is>
          <t>How to set it up</t>
        </is>
      </c>
      <c r="E5" s="6" t="inlineStr">
        <is>
          <t>Variables that matter</t>
        </is>
      </c>
    </row>
    <row r="6">
      <c r="A6" s="7" t="inlineStr">
        <is>
          <t>1. Target Validation</t>
        </is>
      </c>
      <c r="B6" s="7" t="inlineStr">
        <is>
          <t>Confirm a target is tractable; identify chemical matter precedent.</t>
        </is>
      </c>
      <c r="C6" s="7" t="inlineStr">
        <is>
          <t>Target, Enzyme, Protein → Activities tab; Documents tab</t>
        </is>
      </c>
      <c r="D6" s="7" t="inlineStr">
        <is>
          <t>Enter the target via UniProt/Gene ID. Count compounds with potent IC50 / Kd. Look at Activity Mechanism distribution to confirm it's been drugged before.</t>
        </is>
      </c>
      <c r="E6" s="7" t="inlineStr">
        <is>
          <t>Std Activity Type, Std Activity Prefix, Micromolar Value, Activity Mechanism, Reference.</t>
        </is>
      </c>
    </row>
    <row r="7">
      <c r="A7" s="7" t="inlineStr">
        <is>
          <t>2. Hit ID — literature triage</t>
        </is>
      </c>
      <c r="B7" s="7" t="inlineStr">
        <is>
          <t>Pull every disclosed binder for the target, including from patents.</t>
        </is>
      </c>
      <c r="C7" s="7" t="inlineStr">
        <is>
          <t>Target module + Activity result tab + Documents tab</t>
        </is>
      </c>
      <c r="D7" s="7" t="inlineStr">
        <is>
          <t>Filter Activity Type to IC50/Kd ≤ 1 µM. Export. De-duplicate by Structure ID. Cross-reference Patent Number column to see who owns the chemical space.</t>
        </is>
      </c>
      <c r="E7" s="7" t="inlineStr">
        <is>
          <t>Std Activity Type, Micromolar Value, Patent Number, Company (via Reference).</t>
        </is>
      </c>
    </row>
    <row r="8">
      <c r="A8" s="7" t="inlineStr">
        <is>
          <t>2b. Hit ID — chemical similarity</t>
        </is>
      </c>
      <c r="B8" s="7" t="inlineStr">
        <is>
          <t>Find analogs of a known starting compound (yours or competitor's).</t>
        </is>
      </c>
      <c r="C8" s="7" t="inlineStr">
        <is>
          <t>Structure → SMILES tab with Similarity Percentage option</t>
        </is>
      </c>
      <c r="D8" s="7" t="inlineStr">
        <is>
          <t>Paste your SMILES, choose Similarity, set %. Results return ranked by Similarity (%) column.</t>
        </is>
      </c>
      <c r="E8" s="7" t="inlineStr">
        <is>
          <t>Similarity (%), SMILES, Framework, Scaffold.</t>
        </is>
      </c>
    </row>
    <row r="9">
      <c r="A9" s="7" t="inlineStr">
        <is>
          <t>3. SAR — series profiling</t>
        </is>
      </c>
      <c r="B9" s="7" t="inlineStr">
        <is>
          <t>Build a structure–activity table for a chemotype.</t>
        </is>
      </c>
      <c r="C9" s="7" t="inlineStr">
        <is>
          <t>Structure → Sub-Structure search + Activities tab</t>
        </is>
      </c>
      <c r="D9" s="7" t="inlineStr">
        <is>
          <t>Sub-structure-search the core scaffold. Export Activities tab with Std Activity Type/Value/UOM/Micromolar Value columns. Pivot in Excel by analog.</t>
        </is>
      </c>
      <c r="E9" s="7" t="inlineStr">
        <is>
          <t>Std Activity Type, Activity Value, Std Activity UOM, Micromolar Value, Assay Method Name, Parameter.</t>
        </is>
      </c>
    </row>
    <row r="10">
      <c r="A10" s="7" t="inlineStr">
        <is>
          <t>4. Lead optimization — ADME triage</t>
        </is>
      </c>
      <c r="B10" s="7" t="inlineStr">
        <is>
          <t>Filter analogs to those with acceptable ADME precedent.</t>
        </is>
      </c>
      <c r="C10" s="7" t="inlineStr">
        <is>
          <t>Pharmacokinetics module + Assay → Calculated/Experimental Log D/P/pKa/solubility</t>
        </is>
      </c>
      <c r="D10" s="7" t="inlineStr">
        <is>
          <t>Query the PK tree by Metabolism (CYP issues) and Absorption (Caco-2 / permeability). Pair with Experimental Log D and Experimental solubility from Assay module.</t>
        </is>
      </c>
      <c r="E10" s="7" t="inlineStr">
        <is>
          <t>Pharmacokinetic type, Experimental Log D/P/pKa/Solubility, Assay Type, Parameter.</t>
        </is>
      </c>
    </row>
    <row r="11">
      <c r="A11" s="7" t="inlineStr">
        <is>
          <t>5. Lead optimization — Drug-likeness gate</t>
        </is>
      </c>
      <c r="B11" s="7" t="inlineStr">
        <is>
          <t>Apply Lipinski/Veber filters across a series.</t>
        </is>
      </c>
      <c r="C11" s="7" t="inlineStr">
        <is>
          <t>Structure → Physicochemical Property + Structural Property tabs</t>
        </is>
      </c>
      <c r="D11" s="7" t="inlineStr">
        <is>
          <t>Toggle 'All On' under Structural Property with Rule #5 preset. Tune MW / HBD / HBA / cLogP / PSA. Combine with Most Acidic pKa, LogD, Solubility sliders.</t>
        </is>
      </c>
      <c r="E11" s="7" t="inlineStr">
        <is>
          <t>Molecular Weight, H-Bond Donors/Acceptors, Free Rotatable Bonds, Log P/cLogP, PSA, pKa, LogD, Solubility.</t>
        </is>
      </c>
    </row>
    <row r="12">
      <c r="A12" s="7" t="inlineStr">
        <is>
          <t>6. Selectivity / off-target safety</t>
        </is>
      </c>
      <c r="B12" s="7" t="inlineStr">
        <is>
          <t>Spot historic off-target activity before committing to a series.</t>
        </is>
      </c>
      <c r="C12" s="7" t="inlineStr">
        <is>
          <t>Toxicity → Target Toxicity + Target based; Assay → Binding</t>
        </is>
      </c>
      <c r="D12" s="7" t="inlineStr">
        <is>
          <t>Pull binding activity across a panel; cross with hERG / CYP off-targets via Organ Toxicity.</t>
        </is>
      </c>
      <c r="E12" s="7" t="inlineStr">
        <is>
          <t>Toxicity type, Target Name, Std Activity Type, Mechanism.</t>
        </is>
      </c>
    </row>
    <row r="13">
      <c r="A13" s="7" t="inlineStr">
        <is>
          <t>7. Safety / tox de-risking</t>
        </is>
      </c>
      <c r="B13" s="7" t="inlineStr">
        <is>
          <t>Find genotox, mutagen, hepatotox flags on a chemotype.</t>
        </is>
      </c>
      <c r="C13" s="7" t="inlineStr">
        <is>
          <t>Toxicity module (Cytotoxicity, Mutagenicity/Genotoxicity, Organ Toxicity)</t>
        </is>
      </c>
      <c r="D13" s="7" t="inlineStr">
        <is>
          <t>Filter sub-structure or scaffold; pull every tox endpoint reported. Useful for go/no-go on a chemotype.</t>
        </is>
      </c>
      <c r="E13" s="7" t="inlineStr">
        <is>
          <t>Toxicity type, ECA, Mechanism, Method Name.</t>
        </is>
      </c>
    </row>
    <row r="14">
      <c r="A14" s="7" t="inlineStr">
        <is>
          <t>8. Patent landscape / FTO</t>
        </is>
      </c>
      <c r="B14" s="7" t="inlineStr">
        <is>
          <t>Map all IP around a target or scaffold.</t>
        </is>
      </c>
      <c r="C14" s="7" t="inlineStr">
        <is>
          <t>Bibliography → Patent tab; Company module</t>
        </is>
      </c>
      <c r="D14" s="7" t="inlineStr">
        <is>
          <t>Patent IDs (US/WO/EP) + Patent Application Type. Layer Company to attribute IP. Use Custom tab for year ranges.</t>
        </is>
      </c>
      <c r="E14" s="7" t="inlineStr">
        <is>
          <t>Patent Number, Patent Application Type, Year, Company name.</t>
        </is>
      </c>
    </row>
    <row r="15">
      <c r="A15" s="7" t="inlineStr">
        <is>
          <t>9. Competitive intelligence</t>
        </is>
      </c>
      <c r="B15" s="7" t="inlineStr">
        <is>
          <t>What is Company X doing on target Y?</t>
        </is>
      </c>
      <c r="C15" s="7" t="inlineStr">
        <is>
          <t>Company module + Target module (combined criteria)</t>
        </is>
      </c>
      <c r="D15" s="7" t="inlineStr">
        <is>
          <t>Stack 'Company = Roche' AND 'Target = KRAS'. Use Clinical Phase filter to focus on active programs.</t>
        </is>
      </c>
      <c r="E15" s="7" t="inlineStr">
        <is>
          <t>Company name, Target Name, Clinical Phase, Std Activity Type, Reference.</t>
        </is>
      </c>
    </row>
    <row r="16">
      <c r="A16" s="7" t="inlineStr">
        <is>
          <t>10. Clinical / pipeline benchmarking</t>
        </is>
      </c>
      <c r="B16" s="7" t="inlineStr">
        <is>
          <t>Where do competing programs stand?</t>
        </is>
      </c>
      <c r="C16" s="7" t="inlineStr">
        <is>
          <t>Clinical Phase or Status + Molecule Category</t>
        </is>
      </c>
      <c r="D16" s="7" t="inlineStr">
        <is>
          <t>Filter Molecule Category=Drug or Clinical, then Phase III/Launched/Withdrawn for attrition analysis.</t>
        </is>
      </c>
      <c r="E16" s="7" t="inlineStr">
        <is>
          <t>Clinical Phase or Status, Molecule Category, Reference.</t>
        </is>
      </c>
    </row>
    <row r="17">
      <c r="A17" s="7" t="inlineStr">
        <is>
          <t>11. Assay design / benchmarking</t>
        </is>
      </c>
      <c r="B17" s="7" t="inlineStr">
        <is>
          <t>Pick assay formats that prior art uses (improves comparability).</t>
        </is>
      </c>
      <c r="C17" s="7" t="inlineStr">
        <is>
          <t>Assay module → Assay Method Name (results tab column)</t>
        </is>
      </c>
      <c r="D17" s="7" t="inlineStr">
        <is>
          <t>Identify which Assay Method Names dominate a target → align your in-vitro protocol.</t>
        </is>
      </c>
      <c r="E17" s="7" t="inlineStr">
        <is>
          <t>Assay Type, Assay Method Name, Parameter, Cells Cell_line Organ.</t>
        </is>
      </c>
    </row>
    <row r="18">
      <c r="A18" s="7" t="inlineStr">
        <is>
          <t>12. Compound dossier — final review</t>
        </is>
      </c>
      <c r="B18" s="7" t="inlineStr">
        <is>
          <t>One-page summary of a candidate before a gate review.</t>
        </is>
      </c>
      <c r="C18" s="7" t="inlineStr">
        <is>
          <t>Click any Structure ID → Compound leaflet page</t>
        </is>
      </c>
      <c r="D18" s="7" t="inlineStr">
        <is>
          <t>Name &amp; Representation (IDs + structure + synonyms), References (all citations), Assay (every assay it appeared in), Calculated Properties (single-glance Lipinski).</t>
        </is>
      </c>
      <c r="E18" s="7" t="inlineStr">
        <is>
          <t>All fields on the compound leaflet page (see 'Compound Detail' sheet).</t>
        </is>
      </c>
    </row>
    <row r="19">
      <c r="A19" s="7" t="inlineStr">
        <is>
          <t>13. Saved searches &amp; monitoring</t>
        </is>
      </c>
      <c r="B19" s="7" t="inlineStr">
        <is>
          <t>Stand up persistent queries to track new disclosures on Hakase targets.</t>
        </is>
      </c>
      <c r="C19" s="7" t="inlineStr">
        <is>
          <t>Save Search button (results page) + Saved menu (top-right star)</t>
        </is>
      </c>
      <c r="D19" s="7" t="inlineStr">
        <is>
          <t>Persist a target+phase query; re-open via Saved dropdown to see if new records appeared.</t>
        </is>
      </c>
      <c r="E19" s="7" t="inlineStr">
        <is>
          <t>Saved search name + criteria stack.</t>
        </is>
      </c>
    </row>
  </sheetData>
  <mergeCells count="2"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2026-06-16T05:59:17Z</dcterms:created>
  <dcterms:modified xmlns:dcterms="http://purl.org/dc/terms/" xmlns:xsi="http://www.w3.org/2001/XMLSchema-instance" xsi:type="dcterms:W3CDTF">2026-06-16T05:59:17Z</dcterms:modified>
</cp:coreProperties>
</file>